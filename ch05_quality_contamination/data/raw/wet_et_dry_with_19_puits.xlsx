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القراية\Doctorat LMD\Référence\thèse\Manuscript finale, Avril 2025\hydrochime\these hydrochimie\"/>
    </mc:Choice>
  </mc:AlternateContent>
  <bookViews>
    <workbookView xWindow="0" yWindow="0" windowWidth="20325" windowHeight="7680" activeTab="1"/>
  </bookViews>
  <sheets>
    <sheet name="Feuil1" sheetId="1" r:id="rId1"/>
    <sheet name="Feuil3" sheetId="3" r:id="rId2"/>
    <sheet name="Feuil2" sheetId="2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4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" i="1"/>
</calcChain>
</file>

<file path=xl/sharedStrings.xml><?xml version="1.0" encoding="utf-8"?>
<sst xmlns="http://schemas.openxmlformats.org/spreadsheetml/2006/main" count="85" uniqueCount="57">
  <si>
    <t>Période sèche (dry) - Concentrations en meq/L</t>
  </si>
  <si>
    <t>points eau</t>
  </si>
  <si>
    <t>Période humide (wet) - Concentrations en meq/L</t>
  </si>
  <si>
    <t>x</t>
  </si>
  <si>
    <t>y</t>
  </si>
  <si>
    <t>T</t>
  </si>
  <si>
    <t>ph</t>
  </si>
  <si>
    <t>tds dry</t>
  </si>
  <si>
    <t>ec dry</t>
  </si>
  <si>
    <t>na dry</t>
  </si>
  <si>
    <t>ca dry</t>
  </si>
  <si>
    <t>mg dry</t>
  </si>
  <si>
    <t>cl dry</t>
  </si>
  <si>
    <t>so4 dry</t>
  </si>
  <si>
    <t>hco3 dry</t>
  </si>
  <si>
    <t>no3-n dry</t>
  </si>
  <si>
    <t>k dry</t>
  </si>
  <si>
    <t>T wet</t>
  </si>
  <si>
    <t>ph wet</t>
  </si>
  <si>
    <t>tds wet</t>
  </si>
  <si>
    <t>ec wet</t>
  </si>
  <si>
    <t>na wet</t>
  </si>
  <si>
    <t>ca wet</t>
  </si>
  <si>
    <t>mg wet</t>
  </si>
  <si>
    <t>cl wet</t>
  </si>
  <si>
    <t>so4 wet</t>
  </si>
  <si>
    <t>hco3 wet</t>
  </si>
  <si>
    <t>no3-n wet</t>
  </si>
  <si>
    <t>k wet</t>
  </si>
  <si>
    <t>Na/(Na+Ca)</t>
  </si>
  <si>
    <t>Cl/(Cl+HCo3)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</si>
  <si>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</si>
  <si>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</si>
  <si>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</si>
  <si>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</si>
  <si>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</si>
  <si>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</si>
  <si>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</si>
  <si>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</si>
  <si>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</si>
  <si>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</si>
  <si>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</si>
  <si>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</si>
  <si>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</si>
  <si>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</si>
  <si>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</si>
  <si>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</si>
  <si>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</si>
  <si>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Ain Boukoura</t>
  </si>
  <si>
    <t>Ain Ouahab</t>
  </si>
  <si>
    <t>TDS</t>
  </si>
  <si>
    <t>Sèche</t>
  </si>
  <si>
    <t>humide</t>
  </si>
  <si>
    <t>Humide</t>
  </si>
  <si>
    <t>NO3-N</t>
  </si>
  <si>
    <t>pH</t>
  </si>
  <si>
    <t>Cl/NO3-N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</si>
</sst>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0265131069374"/>
          <c:y val="2.8973056505130729E-2"/>
          <c:w val="0.82346548646493056"/>
          <c:h val="0.9157657376375107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Feuil2!$B$3:$B$21</c:f>
              <c:numCache>
                <c:formatCode>General</c:formatCode>
                <c:ptCount val="19"/>
                <c:pt idx="0">
                  <c:v>0.6429737536104484</c:v>
                </c:pt>
                <c:pt idx="1">
                  <c:v>0.71571714858288005</c:v>
                </c:pt>
                <c:pt idx="2">
                  <c:v>0.59523469824511344</c:v>
                </c:pt>
                <c:pt idx="3">
                  <c:v>0.57788066742377919</c:v>
                </c:pt>
                <c:pt idx="4">
                  <c:v>0.57539985845718322</c:v>
                </c:pt>
                <c:pt idx="5">
                  <c:v>0.57267538429015796</c:v>
                </c:pt>
                <c:pt idx="6">
                  <c:v>0.60649155607319094</c:v>
                </c:pt>
                <c:pt idx="7">
                  <c:v>0.56733010579164422</c:v>
                </c:pt>
                <c:pt idx="8">
                  <c:v>0.59364118092354279</c:v>
                </c:pt>
                <c:pt idx="9">
                  <c:v>0.56422633413783863</c:v>
                </c:pt>
                <c:pt idx="10">
                  <c:v>0.61370096645821492</c:v>
                </c:pt>
                <c:pt idx="11">
                  <c:v>0.59839357429718865</c:v>
                </c:pt>
                <c:pt idx="12">
                  <c:v>0.52681208053691275</c:v>
                </c:pt>
                <c:pt idx="13">
                  <c:v>0.50382699111849227</c:v>
                </c:pt>
                <c:pt idx="14">
                  <c:v>0.60812068236289296</c:v>
                </c:pt>
                <c:pt idx="15">
                  <c:v>0.56990243478764369</c:v>
                </c:pt>
                <c:pt idx="16">
                  <c:v>0.66399457723026145</c:v>
                </c:pt>
                <c:pt idx="17">
                  <c:v>0.72587972398890066</c:v>
                </c:pt>
                <c:pt idx="18">
                  <c:v>0.66275097892193613</c:v>
                </c:pt>
              </c:numCache>
            </c:numRef>
          </c:xVal>
          <c:yVal>
            <c:numRef>
              <c:f>Feuil2!$A$3:$A$21</c:f>
              <c:numCache>
                <c:formatCode>General</c:formatCode>
                <c:ptCount val="19"/>
                <c:pt idx="0">
                  <c:v>1324</c:v>
                </c:pt>
                <c:pt idx="1">
                  <c:v>1198</c:v>
                </c:pt>
                <c:pt idx="2">
                  <c:v>1443</c:v>
                </c:pt>
                <c:pt idx="3">
                  <c:v>1275</c:v>
                </c:pt>
                <c:pt idx="4">
                  <c:v>1139</c:v>
                </c:pt>
                <c:pt idx="5">
                  <c:v>1112</c:v>
                </c:pt>
                <c:pt idx="6">
                  <c:v>1219</c:v>
                </c:pt>
                <c:pt idx="7">
                  <c:v>1188</c:v>
                </c:pt>
                <c:pt idx="8">
                  <c:v>1196</c:v>
                </c:pt>
                <c:pt idx="9">
                  <c:v>1094</c:v>
                </c:pt>
                <c:pt idx="10">
                  <c:v>1273</c:v>
                </c:pt>
                <c:pt idx="11">
                  <c:v>1186</c:v>
                </c:pt>
                <c:pt idx="12">
                  <c:v>1182</c:v>
                </c:pt>
                <c:pt idx="13">
                  <c:v>1324</c:v>
                </c:pt>
                <c:pt idx="14">
                  <c:v>1223</c:v>
                </c:pt>
                <c:pt idx="15">
                  <c:v>1188</c:v>
                </c:pt>
                <c:pt idx="16">
                  <c:v>1257</c:v>
                </c:pt>
                <c:pt idx="17">
                  <c:v>1278</c:v>
                </c:pt>
                <c:pt idx="18">
                  <c:v>1377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Feuil2!$B$23:$B$41</c:f>
              <c:numCache>
                <c:formatCode>General</c:formatCode>
                <c:ptCount val="19"/>
                <c:pt idx="0">
                  <c:v>0.47338088034003306</c:v>
                </c:pt>
                <c:pt idx="1">
                  <c:v>0.45811568231212113</c:v>
                </c:pt>
                <c:pt idx="2">
                  <c:v>0.48057168378740511</c:v>
                </c:pt>
                <c:pt idx="3">
                  <c:v>0.4682491085257357</c:v>
                </c:pt>
                <c:pt idx="4">
                  <c:v>0.48978224455611385</c:v>
                </c:pt>
                <c:pt idx="5">
                  <c:v>0.49322778604887618</c:v>
                </c:pt>
                <c:pt idx="6">
                  <c:v>0.51044458313447627</c:v>
                </c:pt>
                <c:pt idx="7">
                  <c:v>0.46746637586332235</c:v>
                </c:pt>
                <c:pt idx="8">
                  <c:v>0.49701166180758022</c:v>
                </c:pt>
                <c:pt idx="9">
                  <c:v>0.50922637699324547</c:v>
                </c:pt>
                <c:pt idx="10">
                  <c:v>0.50019697023958731</c:v>
                </c:pt>
                <c:pt idx="11">
                  <c:v>0.48866335564672853</c:v>
                </c:pt>
                <c:pt idx="12">
                  <c:v>0.49514563106796122</c:v>
                </c:pt>
                <c:pt idx="13">
                  <c:v>0.51028614511901771</c:v>
                </c:pt>
                <c:pt idx="14">
                  <c:v>0.49097273397199709</c:v>
                </c:pt>
                <c:pt idx="15">
                  <c:v>0.48134206219312609</c:v>
                </c:pt>
                <c:pt idx="16">
                  <c:v>0.37790917096490123</c:v>
                </c:pt>
                <c:pt idx="17">
                  <c:v>0.55092817390654758</c:v>
                </c:pt>
                <c:pt idx="18">
                  <c:v>0.48374410068169899</c:v>
                </c:pt>
              </c:numCache>
            </c:numRef>
          </c:xVal>
          <c:yVal>
            <c:numRef>
              <c:f>Feuil2!$A$23:$A$41</c:f>
              <c:numCache>
                <c:formatCode>General</c:formatCode>
                <c:ptCount val="19"/>
                <c:pt idx="0">
                  <c:v>1120.8599999999999</c:v>
                </c:pt>
                <c:pt idx="1">
                  <c:v>1122.42</c:v>
                </c:pt>
                <c:pt idx="2">
                  <c:v>1060.02</c:v>
                </c:pt>
                <c:pt idx="3">
                  <c:v>1065.48</c:v>
                </c:pt>
                <c:pt idx="4">
                  <c:v>1116.96</c:v>
                </c:pt>
                <c:pt idx="5">
                  <c:v>1131</c:v>
                </c:pt>
                <c:pt idx="6">
                  <c:v>1136.46</c:v>
                </c:pt>
                <c:pt idx="7">
                  <c:v>1143.48</c:v>
                </c:pt>
                <c:pt idx="8">
                  <c:v>1154.4000000000001</c:v>
                </c:pt>
                <c:pt idx="9">
                  <c:v>1121.6400000000001</c:v>
                </c:pt>
                <c:pt idx="10">
                  <c:v>1151.28</c:v>
                </c:pt>
                <c:pt idx="11">
                  <c:v>1154.4000000000001</c:v>
                </c:pt>
                <c:pt idx="12">
                  <c:v>1160.6400000000001</c:v>
                </c:pt>
                <c:pt idx="13">
                  <c:v>1161.42</c:v>
                </c:pt>
                <c:pt idx="14">
                  <c:v>1163.76</c:v>
                </c:pt>
                <c:pt idx="15">
                  <c:v>1162.2</c:v>
                </c:pt>
                <c:pt idx="16">
                  <c:v>1161.42</c:v>
                </c:pt>
                <c:pt idx="17">
                  <c:v>1216.8</c:v>
                </c:pt>
                <c:pt idx="18">
                  <c:v>1271.4000000000001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949448"/>
        <c:axId val="508938472"/>
      </c:scatterChart>
      <c:valAx>
        <c:axId val="508949448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508938472"/>
        <c:crosses val="autoZero"/>
        <c:crossBetween val="midCat"/>
      </c:valAx>
      <c:valAx>
        <c:axId val="508938472"/>
        <c:scaling>
          <c:logBase val="10"/>
          <c:orientation val="minMax"/>
          <c:max val="10000"/>
          <c:min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508949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64571916275536"/>
          <c:y val="1.3321207734168408E-2"/>
          <c:w val="0.72407160173520368"/>
          <c:h val="0.7191174799798352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Feuil2!$C$3:$C$21</c:f>
              <c:numCache>
                <c:formatCode>General</c:formatCode>
                <c:ptCount val="19"/>
                <c:pt idx="0">
                  <c:v>0.36948804035276539</c:v>
                </c:pt>
                <c:pt idx="1">
                  <c:v>0.35881435257410299</c:v>
                </c:pt>
                <c:pt idx="2">
                  <c:v>0.42316096139839765</c:v>
                </c:pt>
                <c:pt idx="3">
                  <c:v>0.38266477622052975</c:v>
                </c:pt>
                <c:pt idx="4">
                  <c:v>0.34251711770459736</c:v>
                </c:pt>
                <c:pt idx="5">
                  <c:v>0.3037806882655496</c:v>
                </c:pt>
                <c:pt idx="6">
                  <c:v>0.3441889719756796</c:v>
                </c:pt>
                <c:pt idx="7">
                  <c:v>0.44277400581959264</c:v>
                </c:pt>
                <c:pt idx="8">
                  <c:v>0.43000812043225689</c:v>
                </c:pt>
                <c:pt idx="9">
                  <c:v>0.37547665709554412</c:v>
                </c:pt>
                <c:pt idx="10">
                  <c:v>0.63668827388114735</c:v>
                </c:pt>
                <c:pt idx="11">
                  <c:v>0.46438017053509084</c:v>
                </c:pt>
                <c:pt idx="12">
                  <c:v>0.34303475558067253</c:v>
                </c:pt>
                <c:pt idx="13">
                  <c:v>0.58993778739518532</c:v>
                </c:pt>
                <c:pt idx="14">
                  <c:v>0.5932000171284203</c:v>
                </c:pt>
                <c:pt idx="15">
                  <c:v>0.6966582933698714</c:v>
                </c:pt>
                <c:pt idx="16">
                  <c:v>0.59965587300352874</c:v>
                </c:pt>
                <c:pt idx="17">
                  <c:v>0.61344149034606132</c:v>
                </c:pt>
                <c:pt idx="18">
                  <c:v>0.59035569348293149</c:v>
                </c:pt>
              </c:numCache>
            </c:numRef>
          </c:xVal>
          <c:yVal>
            <c:numRef>
              <c:f>Feuil2!$A$3:$A$21</c:f>
              <c:numCache>
                <c:formatCode>General</c:formatCode>
                <c:ptCount val="19"/>
                <c:pt idx="0">
                  <c:v>1324</c:v>
                </c:pt>
                <c:pt idx="1">
                  <c:v>1198</c:v>
                </c:pt>
                <c:pt idx="2">
                  <c:v>1443</c:v>
                </c:pt>
                <c:pt idx="3">
                  <c:v>1275</c:v>
                </c:pt>
                <c:pt idx="4">
                  <c:v>1139</c:v>
                </c:pt>
                <c:pt idx="5">
                  <c:v>1112</c:v>
                </c:pt>
                <c:pt idx="6">
                  <c:v>1219</c:v>
                </c:pt>
                <c:pt idx="7">
                  <c:v>1188</c:v>
                </c:pt>
                <c:pt idx="8">
                  <c:v>1196</c:v>
                </c:pt>
                <c:pt idx="9">
                  <c:v>1094</c:v>
                </c:pt>
                <c:pt idx="10">
                  <c:v>1273</c:v>
                </c:pt>
                <c:pt idx="11">
                  <c:v>1186</c:v>
                </c:pt>
                <c:pt idx="12">
                  <c:v>1182</c:v>
                </c:pt>
                <c:pt idx="13">
                  <c:v>1324</c:v>
                </c:pt>
                <c:pt idx="14">
                  <c:v>1223</c:v>
                </c:pt>
                <c:pt idx="15">
                  <c:v>1188</c:v>
                </c:pt>
                <c:pt idx="16">
                  <c:v>1257</c:v>
                </c:pt>
                <c:pt idx="17">
                  <c:v>1278</c:v>
                </c:pt>
                <c:pt idx="18">
                  <c:v>1377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Feuil2!$C$23:$C$41</c:f>
              <c:numCache>
                <c:formatCode>General</c:formatCode>
                <c:ptCount val="19"/>
                <c:pt idx="0">
                  <c:v>0.36617016663052726</c:v>
                </c:pt>
                <c:pt idx="1">
                  <c:v>0.35841939274009027</c:v>
                </c:pt>
                <c:pt idx="2">
                  <c:v>0.42353515769532463</c:v>
                </c:pt>
                <c:pt idx="3">
                  <c:v>0.36694656193166431</c:v>
                </c:pt>
                <c:pt idx="4">
                  <c:v>0.33540605658390199</c:v>
                </c:pt>
                <c:pt idx="5">
                  <c:v>0.30748222059976743</c:v>
                </c:pt>
                <c:pt idx="6">
                  <c:v>0.3480429152793193</c:v>
                </c:pt>
                <c:pt idx="7">
                  <c:v>0.41517467808957065</c:v>
                </c:pt>
                <c:pt idx="8">
                  <c:v>0.42495733039830275</c:v>
                </c:pt>
                <c:pt idx="9">
                  <c:v>0.34623470948012236</c:v>
                </c:pt>
                <c:pt idx="10">
                  <c:v>0.47711685866690573</c:v>
                </c:pt>
                <c:pt idx="11">
                  <c:v>0.39756863028029293</c:v>
                </c:pt>
                <c:pt idx="12">
                  <c:v>0.3059198047074736</c:v>
                </c:pt>
                <c:pt idx="13">
                  <c:v>0.47314383763941442</c:v>
                </c:pt>
                <c:pt idx="14">
                  <c:v>0.48016304347826083</c:v>
                </c:pt>
                <c:pt idx="15">
                  <c:v>0.57637861821255021</c:v>
                </c:pt>
                <c:pt idx="16">
                  <c:v>0.50329180841430288</c:v>
                </c:pt>
                <c:pt idx="17">
                  <c:v>0.43958183239572635</c:v>
                </c:pt>
                <c:pt idx="18">
                  <c:v>0.4349269588313413</c:v>
                </c:pt>
              </c:numCache>
            </c:numRef>
          </c:xVal>
          <c:yVal>
            <c:numRef>
              <c:f>Feuil2!$A$23:$A$41</c:f>
              <c:numCache>
                <c:formatCode>General</c:formatCode>
                <c:ptCount val="19"/>
                <c:pt idx="0">
                  <c:v>1120.8599999999999</c:v>
                </c:pt>
                <c:pt idx="1">
                  <c:v>1122.42</c:v>
                </c:pt>
                <c:pt idx="2">
                  <c:v>1060.02</c:v>
                </c:pt>
                <c:pt idx="3">
                  <c:v>1065.48</c:v>
                </c:pt>
                <c:pt idx="4">
                  <c:v>1116.96</c:v>
                </c:pt>
                <c:pt idx="5">
                  <c:v>1131</c:v>
                </c:pt>
                <c:pt idx="6">
                  <c:v>1136.46</c:v>
                </c:pt>
                <c:pt idx="7">
                  <c:v>1143.48</c:v>
                </c:pt>
                <c:pt idx="8">
                  <c:v>1154.4000000000001</c:v>
                </c:pt>
                <c:pt idx="9">
                  <c:v>1121.6400000000001</c:v>
                </c:pt>
                <c:pt idx="10">
                  <c:v>1151.28</c:v>
                </c:pt>
                <c:pt idx="11">
                  <c:v>1154.4000000000001</c:v>
                </c:pt>
                <c:pt idx="12">
                  <c:v>1160.6400000000001</c:v>
                </c:pt>
                <c:pt idx="13">
                  <c:v>1161.42</c:v>
                </c:pt>
                <c:pt idx="14">
                  <c:v>1163.76</c:v>
                </c:pt>
                <c:pt idx="15">
                  <c:v>1162.2</c:v>
                </c:pt>
                <c:pt idx="16">
                  <c:v>1161.42</c:v>
                </c:pt>
                <c:pt idx="17">
                  <c:v>1216.8</c:v>
                </c:pt>
                <c:pt idx="18">
                  <c:v>1271.4000000000001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2624"/>
        <c:axId val="482930272"/>
      </c:scatterChart>
      <c:valAx>
        <c:axId val="482932624"/>
        <c:scaling>
          <c:orientation val="minMax"/>
          <c:max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82930272"/>
        <c:crosses val="autoZero"/>
        <c:crossBetween val="midCat"/>
      </c:valAx>
      <c:valAx>
        <c:axId val="482930272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8293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293102</xdr:colOff>
      <xdr:row>1</xdr:row>
      <xdr:rowOff>47625</xdr:rowOff>
    </xdr:from>
    <xdr:to>
      <xdr:col>15</xdr:col>
      <xdr:colOff>656167</xdr:colOff>
      <xdr:row>32</xdr:row>
      <xdr:rowOff>52917</xdr:rowOff>
    </xdr:to>
    <xdr:grpSp>
      <xdr:nvGrpSpPr>
        <xdr:cNvPr id="8" name="Groupe 7"/>
        <xdr:cNvGrpSpPr/>
      </xdr:nvGrpSpPr>
      <xdr:grpSpPr>
        <a:xfrm>
          <a:off x="4103102" y="238125"/>
          <a:ext cx="7983065" cy="5910792"/>
          <a:chOff x="4103102" y="238125"/>
          <a:chExt cx="7983065" cy="5910792"/>
        </a:xfrm>
      </xdr:grpSpPr>
      <xdr:pic>
        <xdr:nvPicPr>
          <xdr:cNvPr id="2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4103102" y="238125"/>
            <a:ext cx="7707558" cy="4924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graphicFrame macro="">
        <xdr:nvGraphicFramePr>
          <xdr:cNvPr id="3" name="Graphique 2"/>
          <xdr:cNvGraphicFramePr/>
        </xdr:nvGraphicFramePr>
        <xdr:xfrm>
          <a:off x="4472519" y="240240"/>
          <a:ext cx="3475564" cy="46280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aphique 3"/>
          <xdr:cNvGraphicFramePr/>
        </xdr:nvGraphicFramePr>
        <xdr:xfrm>
          <a:off x="8120062" y="269345"/>
          <a:ext cx="3966105" cy="5879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6" name="Image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889500" y="391583"/>
            <a:ext cx="1600000" cy="495238"/>
          </a:xfrm>
          <a:prstGeom prst="rect">
            <a:avLst/>
          </a:prstGeom>
        </xdr:spPr>
      </xdr:pic>
      <xdr:pic>
        <xdr:nvPicPr>
          <xdr:cNvPr id="7" name="Image 6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773583" y="349250"/>
            <a:ext cx="1600000" cy="49523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opLeftCell="C25" workbookViewId="0">
      <selection activeCell="R45" sqref="R44:R45"/>
    </sheetView>
  </sheetViews>
  <sheetFormatPr baseColWidth="10" defaultRowHeight="15" x14ac:dyDescent="0.25"/>
  <sheetData>
    <row r="1" spans="1:18" ht="23.25" x14ac:dyDescent="0.25">
      <c r="A1" s="1" t="s">
        <v>0</v>
      </c>
    </row>
    <row r="3" spans="1:18" x14ac:dyDescent="0.25">
      <c r="A3" s="2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29</v>
      </c>
      <c r="Q3" t="s">
        <v>30</v>
      </c>
    </row>
    <row r="4" spans="1:18" x14ac:dyDescent="0.25">
      <c r="A4" s="3" t="s">
        <v>31</v>
      </c>
      <c r="B4">
        <v>649111.63500000001</v>
      </c>
      <c r="C4">
        <v>3870571.8590000002</v>
      </c>
      <c r="D4">
        <v>19.8</v>
      </c>
      <c r="E4">
        <v>7.26</v>
      </c>
      <c r="F4">
        <v>1324</v>
      </c>
      <c r="G4">
        <v>1698</v>
      </c>
      <c r="H4">
        <v>256</v>
      </c>
      <c r="I4">
        <v>142.15</v>
      </c>
      <c r="J4">
        <v>76.3</v>
      </c>
      <c r="K4">
        <v>230.01</v>
      </c>
      <c r="L4">
        <v>125</v>
      </c>
      <c r="M4">
        <v>392.5</v>
      </c>
      <c r="N4">
        <v>27.074115030000002</v>
      </c>
      <c r="O4">
        <v>2.46</v>
      </c>
      <c r="P4">
        <f>H4/(H4+I4)</f>
        <v>0.6429737536104484</v>
      </c>
      <c r="Q4">
        <f>K4/(K4+M4)</f>
        <v>0.36948804035276539</v>
      </c>
      <c r="R4">
        <f>K4/N4</f>
        <v>8.4955685437966455</v>
      </c>
    </row>
    <row r="5" spans="1:18" x14ac:dyDescent="0.25">
      <c r="A5" s="3" t="s">
        <v>32</v>
      </c>
      <c r="B5">
        <v>648968.93400000001</v>
      </c>
      <c r="C5">
        <v>3870318.17</v>
      </c>
      <c r="D5">
        <v>18.8</v>
      </c>
      <c r="E5">
        <v>7.42</v>
      </c>
      <c r="F5">
        <v>1198</v>
      </c>
      <c r="G5">
        <v>1536</v>
      </c>
      <c r="H5">
        <v>350</v>
      </c>
      <c r="I5">
        <v>139.02000000000001</v>
      </c>
      <c r="J5">
        <v>82.87</v>
      </c>
      <c r="K5">
        <v>230</v>
      </c>
      <c r="L5">
        <v>110.54</v>
      </c>
      <c r="M5">
        <v>411</v>
      </c>
      <c r="N5">
        <v>35.721567039999996</v>
      </c>
      <c r="O5">
        <v>6.57</v>
      </c>
      <c r="P5">
        <f t="shared" ref="P5:P45" si="0">H5/(H5+I5)</f>
        <v>0.71571714858288005</v>
      </c>
      <c r="Q5">
        <f t="shared" ref="Q5:Q45" si="1">K5/(K5+M5)</f>
        <v>0.35881435257410299</v>
      </c>
      <c r="R5">
        <f t="shared" ref="R5:R22" si="2">K5/N5</f>
        <v>6.4386872989769044</v>
      </c>
    </row>
    <row r="6" spans="1:18" x14ac:dyDescent="0.25">
      <c r="A6" s="3" t="s">
        <v>33</v>
      </c>
      <c r="B6">
        <v>649529.16500000004</v>
      </c>
      <c r="C6">
        <v>3871137.3739999998</v>
      </c>
      <c r="D6">
        <v>19.3</v>
      </c>
      <c r="E6">
        <v>7.37</v>
      </c>
      <c r="F6">
        <v>1443</v>
      </c>
      <c r="G6">
        <v>1850</v>
      </c>
      <c r="H6">
        <v>208.6</v>
      </c>
      <c r="I6">
        <v>141.85</v>
      </c>
      <c r="J6">
        <v>65.25</v>
      </c>
      <c r="K6">
        <v>290.5</v>
      </c>
      <c r="L6">
        <v>128.87</v>
      </c>
      <c r="M6">
        <v>396</v>
      </c>
      <c r="N6">
        <v>27.478476029999999</v>
      </c>
      <c r="O6">
        <v>10.23</v>
      </c>
      <c r="P6">
        <f t="shared" si="0"/>
        <v>0.59523469824511344</v>
      </c>
      <c r="Q6">
        <f t="shared" si="1"/>
        <v>0.42316096139839765</v>
      </c>
      <c r="R6">
        <f t="shared" si="2"/>
        <v>10.5719108906492</v>
      </c>
    </row>
    <row r="7" spans="1:18" x14ac:dyDescent="0.25">
      <c r="A7" s="3" t="s">
        <v>34</v>
      </c>
      <c r="B7">
        <v>649819.85</v>
      </c>
      <c r="C7">
        <v>3869847.7880000002</v>
      </c>
      <c r="D7">
        <v>18.600000000000001</v>
      </c>
      <c r="E7">
        <v>7.26</v>
      </c>
      <c r="F7">
        <v>1275</v>
      </c>
      <c r="G7">
        <v>1635</v>
      </c>
      <c r="H7">
        <v>198.45</v>
      </c>
      <c r="I7">
        <v>144.96</v>
      </c>
      <c r="J7">
        <v>72.86</v>
      </c>
      <c r="K7">
        <v>304.98</v>
      </c>
      <c r="L7">
        <v>119.3</v>
      </c>
      <c r="M7">
        <v>492.01</v>
      </c>
      <c r="N7">
        <v>28.725444029999998</v>
      </c>
      <c r="O7">
        <v>3.54</v>
      </c>
      <c r="P7">
        <f t="shared" si="0"/>
        <v>0.57788066742377919</v>
      </c>
      <c r="Q7">
        <f t="shared" si="1"/>
        <v>0.38266477622052975</v>
      </c>
      <c r="R7">
        <f t="shared" si="2"/>
        <v>10.617068257726077</v>
      </c>
    </row>
    <row r="8" spans="1:18" x14ac:dyDescent="0.25">
      <c r="A8" s="3" t="s">
        <v>35</v>
      </c>
      <c r="B8">
        <v>648799.80799999996</v>
      </c>
      <c r="C8">
        <v>3870450.2990000001</v>
      </c>
      <c r="D8">
        <v>17.899999999999999</v>
      </c>
      <c r="E8">
        <v>7.38</v>
      </c>
      <c r="F8">
        <v>1139</v>
      </c>
      <c r="G8">
        <v>1460</v>
      </c>
      <c r="H8">
        <v>203.26</v>
      </c>
      <c r="I8">
        <v>149.99</v>
      </c>
      <c r="J8">
        <v>52.34</v>
      </c>
      <c r="K8">
        <v>252.12</v>
      </c>
      <c r="L8">
        <v>110.9</v>
      </c>
      <c r="M8">
        <v>483.96</v>
      </c>
      <c r="N8">
        <v>29.283417029999999</v>
      </c>
      <c r="O8">
        <v>7.89</v>
      </c>
      <c r="P8">
        <f t="shared" si="0"/>
        <v>0.57539985845718322</v>
      </c>
      <c r="Q8">
        <f t="shared" si="1"/>
        <v>0.34251711770459736</v>
      </c>
      <c r="R8">
        <f t="shared" si="2"/>
        <v>8.6096509755576154</v>
      </c>
    </row>
    <row r="9" spans="1:18" x14ac:dyDescent="0.25">
      <c r="A9" s="3" t="s">
        <v>36</v>
      </c>
      <c r="B9">
        <v>648345.28200000001</v>
      </c>
      <c r="C9">
        <v>3871893.156</v>
      </c>
      <c r="D9">
        <v>18.2</v>
      </c>
      <c r="E9">
        <v>7.91</v>
      </c>
      <c r="F9">
        <v>1112</v>
      </c>
      <c r="G9">
        <v>1425</v>
      </c>
      <c r="H9">
        <v>189.63</v>
      </c>
      <c r="I9">
        <v>141.5</v>
      </c>
      <c r="J9">
        <v>80.569999999999993</v>
      </c>
      <c r="K9">
        <v>229.16</v>
      </c>
      <c r="L9">
        <v>83</v>
      </c>
      <c r="M9">
        <v>525.20000000000005</v>
      </c>
      <c r="N9">
        <v>21.74287502</v>
      </c>
      <c r="O9">
        <v>1.65</v>
      </c>
      <c r="P9">
        <f t="shared" si="0"/>
        <v>0.57267538429015796</v>
      </c>
      <c r="Q9">
        <f t="shared" si="1"/>
        <v>0.3037806882655496</v>
      </c>
      <c r="R9">
        <f t="shared" si="2"/>
        <v>10.539544553754235</v>
      </c>
    </row>
    <row r="10" spans="1:18" x14ac:dyDescent="0.25">
      <c r="A10" s="3" t="s">
        <v>37</v>
      </c>
      <c r="B10">
        <v>648144.44499999995</v>
      </c>
      <c r="C10">
        <v>3871639.4670000002</v>
      </c>
      <c r="D10">
        <v>16.5</v>
      </c>
      <c r="E10">
        <v>7.29</v>
      </c>
      <c r="F10">
        <v>1219</v>
      </c>
      <c r="G10">
        <v>1563</v>
      </c>
      <c r="H10">
        <v>197.88</v>
      </c>
      <c r="I10">
        <v>128.38999999999999</v>
      </c>
      <c r="J10">
        <v>77.58</v>
      </c>
      <c r="K10">
        <v>246.25</v>
      </c>
      <c r="L10">
        <v>85.69</v>
      </c>
      <c r="M10">
        <v>469.2</v>
      </c>
      <c r="N10">
        <v>17.24068802</v>
      </c>
      <c r="O10">
        <v>5.12</v>
      </c>
      <c r="P10">
        <f t="shared" si="0"/>
        <v>0.60649155607319094</v>
      </c>
      <c r="Q10">
        <f t="shared" si="1"/>
        <v>0.3441889719756796</v>
      </c>
      <c r="R10">
        <f t="shared" si="2"/>
        <v>14.283072677513713</v>
      </c>
    </row>
    <row r="11" spans="1:18" x14ac:dyDescent="0.25">
      <c r="A11" s="3" t="s">
        <v>38</v>
      </c>
      <c r="B11">
        <v>647732.19999999995</v>
      </c>
      <c r="C11">
        <v>3871850.8739999998</v>
      </c>
      <c r="D11">
        <v>19.7</v>
      </c>
      <c r="E11">
        <v>7.81</v>
      </c>
      <c r="F11">
        <v>1188</v>
      </c>
      <c r="G11">
        <v>1523</v>
      </c>
      <c r="H11">
        <v>189.84</v>
      </c>
      <c r="I11">
        <v>144.78</v>
      </c>
      <c r="J11">
        <v>92.03</v>
      </c>
      <c r="K11">
        <v>365.2</v>
      </c>
      <c r="L11">
        <v>111.95</v>
      </c>
      <c r="M11">
        <v>459.6</v>
      </c>
      <c r="N11">
        <v>31.971627030000001</v>
      </c>
      <c r="O11">
        <v>8.4499999999999993</v>
      </c>
      <c r="P11">
        <f t="shared" si="0"/>
        <v>0.56733010579164422</v>
      </c>
      <c r="Q11">
        <f t="shared" si="1"/>
        <v>0.44277400581959264</v>
      </c>
      <c r="R11">
        <f t="shared" si="2"/>
        <v>11.422627933740161</v>
      </c>
    </row>
    <row r="12" spans="1:18" x14ac:dyDescent="0.25">
      <c r="A12" s="3" t="s">
        <v>39</v>
      </c>
      <c r="B12">
        <v>647774.48199999996</v>
      </c>
      <c r="C12">
        <v>3872744.071</v>
      </c>
      <c r="D12">
        <v>20.2</v>
      </c>
      <c r="E12">
        <v>7.42</v>
      </c>
      <c r="F12">
        <v>1196</v>
      </c>
      <c r="G12">
        <v>1533</v>
      </c>
      <c r="H12">
        <v>196.05</v>
      </c>
      <c r="I12">
        <v>134.19999999999999</v>
      </c>
      <c r="J12">
        <v>85.07</v>
      </c>
      <c r="K12">
        <v>275.36</v>
      </c>
      <c r="L12">
        <v>100.64</v>
      </c>
      <c r="M12">
        <v>365</v>
      </c>
      <c r="N12">
        <v>20.163834019999999</v>
      </c>
      <c r="O12">
        <v>4.37</v>
      </c>
      <c r="P12">
        <f t="shared" si="0"/>
        <v>0.59364118092354279</v>
      </c>
      <c r="Q12">
        <f t="shared" si="1"/>
        <v>0.43000812043225689</v>
      </c>
      <c r="R12">
        <f t="shared" si="2"/>
        <v>13.656133041309374</v>
      </c>
    </row>
    <row r="13" spans="1:18" x14ac:dyDescent="0.25">
      <c r="A13" s="3" t="s">
        <v>40</v>
      </c>
      <c r="B13">
        <v>649190.91200000001</v>
      </c>
      <c r="C13">
        <v>3871438.63</v>
      </c>
      <c r="D13">
        <v>19.600000000000001</v>
      </c>
      <c r="E13">
        <v>7.35</v>
      </c>
      <c r="F13">
        <v>1094</v>
      </c>
      <c r="G13">
        <v>1402</v>
      </c>
      <c r="H13">
        <v>189.36</v>
      </c>
      <c r="I13">
        <v>146.25</v>
      </c>
      <c r="J13">
        <v>80.91</v>
      </c>
      <c r="K13">
        <v>247.15</v>
      </c>
      <c r="L13">
        <v>98.1</v>
      </c>
      <c r="M13">
        <v>411.08</v>
      </c>
      <c r="N13">
        <v>24.02672402</v>
      </c>
      <c r="O13">
        <v>6.83</v>
      </c>
      <c r="P13">
        <f t="shared" si="0"/>
        <v>0.56422633413783863</v>
      </c>
      <c r="Q13">
        <f t="shared" si="1"/>
        <v>0.37547665709554412</v>
      </c>
      <c r="R13">
        <f t="shared" si="2"/>
        <v>10.286462681898321</v>
      </c>
    </row>
    <row r="14" spans="1:18" x14ac:dyDescent="0.25">
      <c r="A14" s="3" t="s">
        <v>41</v>
      </c>
      <c r="B14">
        <v>648885.62699999998</v>
      </c>
      <c r="C14">
        <v>3872141.56</v>
      </c>
      <c r="D14">
        <v>18.5</v>
      </c>
      <c r="E14">
        <v>7.96</v>
      </c>
      <c r="F14">
        <v>1273</v>
      </c>
      <c r="G14">
        <v>1632</v>
      </c>
      <c r="H14">
        <v>215.9</v>
      </c>
      <c r="I14">
        <v>135.9</v>
      </c>
      <c r="J14">
        <v>69.849999999999994</v>
      </c>
      <c r="K14">
        <v>820.15</v>
      </c>
      <c r="L14">
        <v>181.65</v>
      </c>
      <c r="M14">
        <v>468</v>
      </c>
      <c r="N14">
        <v>45.559512050000002</v>
      </c>
      <c r="O14">
        <v>11.24</v>
      </c>
      <c r="P14">
        <f t="shared" si="0"/>
        <v>0.61370096645821492</v>
      </c>
      <c r="Q14">
        <f t="shared" si="1"/>
        <v>0.63668827388114735</v>
      </c>
      <c r="R14">
        <f t="shared" si="2"/>
        <v>18.001729234938107</v>
      </c>
    </row>
    <row r="15" spans="1:18" x14ac:dyDescent="0.25">
      <c r="A15" s="3" t="s">
        <v>42</v>
      </c>
      <c r="B15">
        <v>649090.49399999995</v>
      </c>
      <c r="C15">
        <v>3873600.2719999999</v>
      </c>
      <c r="D15">
        <v>17.3</v>
      </c>
      <c r="E15">
        <v>7.15</v>
      </c>
      <c r="F15">
        <v>1186</v>
      </c>
      <c r="G15">
        <v>1520</v>
      </c>
      <c r="H15">
        <v>208.6</v>
      </c>
      <c r="I15">
        <v>140</v>
      </c>
      <c r="J15">
        <v>71.260000000000005</v>
      </c>
      <c r="K15">
        <v>438.96</v>
      </c>
      <c r="L15">
        <v>119.5</v>
      </c>
      <c r="M15">
        <v>506.3</v>
      </c>
      <c r="N15">
        <v>25.359534029999999</v>
      </c>
      <c r="O15">
        <v>2.79</v>
      </c>
      <c r="P15">
        <f t="shared" si="0"/>
        <v>0.59839357429718865</v>
      </c>
      <c r="Q15">
        <f t="shared" si="1"/>
        <v>0.46438017053509084</v>
      </c>
      <c r="R15">
        <f t="shared" si="2"/>
        <v>17.309466312776724</v>
      </c>
    </row>
    <row r="16" spans="1:18" x14ac:dyDescent="0.25">
      <c r="A16" s="3" t="s">
        <v>43</v>
      </c>
      <c r="B16">
        <v>649597.87199999997</v>
      </c>
      <c r="C16">
        <v>3873325.4419999998</v>
      </c>
      <c r="D16">
        <v>19.899999999999999</v>
      </c>
      <c r="E16">
        <v>7.67</v>
      </c>
      <c r="F16">
        <v>1182</v>
      </c>
      <c r="G16">
        <v>1516</v>
      </c>
      <c r="H16">
        <v>156.99</v>
      </c>
      <c r="I16">
        <v>141.01</v>
      </c>
      <c r="J16">
        <v>91.38</v>
      </c>
      <c r="K16">
        <v>218.52</v>
      </c>
      <c r="L16">
        <v>179.64</v>
      </c>
      <c r="M16">
        <v>418.5</v>
      </c>
      <c r="N16">
        <v>29.254050029999998</v>
      </c>
      <c r="O16">
        <v>7.16</v>
      </c>
      <c r="P16">
        <f t="shared" si="0"/>
        <v>0.52681208053691275</v>
      </c>
      <c r="Q16">
        <f t="shared" si="1"/>
        <v>0.34303475558067253</v>
      </c>
      <c r="R16">
        <f t="shared" si="2"/>
        <v>7.469734952114595</v>
      </c>
    </row>
    <row r="17" spans="1:18" x14ac:dyDescent="0.25">
      <c r="A17" s="3" t="s">
        <v>44</v>
      </c>
      <c r="B17">
        <v>650084.10900000005</v>
      </c>
      <c r="C17">
        <v>3873996.6609999998</v>
      </c>
      <c r="D17">
        <v>20.399999999999999</v>
      </c>
      <c r="E17">
        <v>8.02</v>
      </c>
      <c r="F17">
        <v>1324</v>
      </c>
      <c r="G17">
        <v>1698</v>
      </c>
      <c r="H17">
        <v>139.55000000000001</v>
      </c>
      <c r="I17">
        <v>137.43</v>
      </c>
      <c r="J17">
        <v>66.64</v>
      </c>
      <c r="K17">
        <v>545.25</v>
      </c>
      <c r="L17">
        <v>128.38999999999999</v>
      </c>
      <c r="M17">
        <v>379</v>
      </c>
      <c r="N17">
        <v>31.47464703</v>
      </c>
      <c r="O17">
        <v>3.91</v>
      </c>
      <c r="P17">
        <f t="shared" si="0"/>
        <v>0.50382699111849227</v>
      </c>
      <c r="Q17">
        <f t="shared" si="1"/>
        <v>0.58993778739518532</v>
      </c>
      <c r="R17">
        <f t="shared" si="2"/>
        <v>17.323466708945013</v>
      </c>
    </row>
    <row r="18" spans="1:18" x14ac:dyDescent="0.25">
      <c r="A18" s="3" t="s">
        <v>45</v>
      </c>
      <c r="B18">
        <v>648984.79</v>
      </c>
      <c r="C18">
        <v>3874953.281</v>
      </c>
      <c r="D18">
        <v>18.899999999999999</v>
      </c>
      <c r="E18">
        <v>7.95</v>
      </c>
      <c r="F18">
        <v>1223</v>
      </c>
      <c r="G18">
        <v>1568</v>
      </c>
      <c r="H18">
        <v>215.67</v>
      </c>
      <c r="I18">
        <v>138.97999999999999</v>
      </c>
      <c r="J18">
        <v>71.09</v>
      </c>
      <c r="K18">
        <v>554.12</v>
      </c>
      <c r="L18">
        <v>126.88</v>
      </c>
      <c r="M18">
        <v>380</v>
      </c>
      <c r="N18">
        <v>29.267604030000001</v>
      </c>
      <c r="O18">
        <v>9.5299999999999994</v>
      </c>
      <c r="P18">
        <f t="shared" si="0"/>
        <v>0.60812068236289296</v>
      </c>
      <c r="Q18">
        <f t="shared" si="1"/>
        <v>0.5932000171284203</v>
      </c>
      <c r="R18">
        <f t="shared" si="2"/>
        <v>18.932878804565405</v>
      </c>
    </row>
    <row r="19" spans="1:18" x14ac:dyDescent="0.25">
      <c r="A19" s="3" t="s">
        <v>46</v>
      </c>
      <c r="B19">
        <v>649994.26100000006</v>
      </c>
      <c r="C19">
        <v>3874467.0430000001</v>
      </c>
      <c r="D19">
        <v>19.100000000000001</v>
      </c>
      <c r="E19">
        <v>7.39</v>
      </c>
      <c r="F19">
        <v>1188</v>
      </c>
      <c r="G19">
        <v>1523</v>
      </c>
      <c r="H19">
        <v>196.85</v>
      </c>
      <c r="I19">
        <v>148.56</v>
      </c>
      <c r="J19">
        <v>69.52</v>
      </c>
      <c r="K19">
        <v>915.2</v>
      </c>
      <c r="L19">
        <v>142.22</v>
      </c>
      <c r="M19">
        <v>398.5</v>
      </c>
      <c r="N19">
        <v>27.07637403</v>
      </c>
      <c r="O19">
        <v>5.28</v>
      </c>
      <c r="P19">
        <f t="shared" si="0"/>
        <v>0.56990243478764369</v>
      </c>
      <c r="Q19">
        <f t="shared" si="1"/>
        <v>0.6966582933698714</v>
      </c>
      <c r="R19">
        <f t="shared" si="2"/>
        <v>33.8006853866762</v>
      </c>
    </row>
    <row r="20" spans="1:18" x14ac:dyDescent="0.25">
      <c r="A20" s="3" t="s">
        <v>47</v>
      </c>
      <c r="B20">
        <v>650136.96100000001</v>
      </c>
      <c r="C20">
        <v>3874884.5729999999</v>
      </c>
      <c r="D20">
        <v>17.600000000000001</v>
      </c>
      <c r="E20">
        <v>7.58</v>
      </c>
      <c r="F20">
        <v>1257</v>
      </c>
      <c r="G20">
        <v>1612</v>
      </c>
      <c r="H20">
        <v>450.6</v>
      </c>
      <c r="I20">
        <v>228.02</v>
      </c>
      <c r="J20">
        <v>68.13</v>
      </c>
      <c r="K20">
        <v>616.86</v>
      </c>
      <c r="L20">
        <v>134.80000000000001</v>
      </c>
      <c r="M20">
        <v>411.83</v>
      </c>
      <c r="N20">
        <v>39.374370040000002</v>
      </c>
      <c r="O20">
        <v>0.87</v>
      </c>
      <c r="P20">
        <f t="shared" si="0"/>
        <v>0.66399457723026145</v>
      </c>
      <c r="Q20">
        <f t="shared" si="1"/>
        <v>0.59965587300352874</v>
      </c>
      <c r="R20">
        <f t="shared" si="2"/>
        <v>15.666536362952309</v>
      </c>
    </row>
    <row r="21" spans="1:18" ht="30" x14ac:dyDescent="0.25">
      <c r="A21" s="3" t="s">
        <v>48</v>
      </c>
      <c r="B21">
        <v>650644.33900000004</v>
      </c>
      <c r="C21">
        <v>3875492.37</v>
      </c>
      <c r="D21">
        <v>20.3</v>
      </c>
      <c r="E21">
        <v>8.1199999999999992</v>
      </c>
      <c r="F21">
        <v>1278</v>
      </c>
      <c r="G21">
        <v>1638</v>
      </c>
      <c r="H21">
        <v>295.60000000000002</v>
      </c>
      <c r="I21">
        <v>111.63</v>
      </c>
      <c r="J21">
        <v>82.01</v>
      </c>
      <c r="K21">
        <v>596.66999999999996</v>
      </c>
      <c r="L21">
        <v>145.15</v>
      </c>
      <c r="M21">
        <v>375.99</v>
      </c>
      <c r="N21">
        <v>13.445568010000001</v>
      </c>
      <c r="O21">
        <v>7.62</v>
      </c>
      <c r="P21">
        <f t="shared" si="0"/>
        <v>0.72587972398890066</v>
      </c>
      <c r="Q21">
        <f t="shared" si="1"/>
        <v>0.61344149034606132</v>
      </c>
      <c r="R21">
        <f t="shared" si="2"/>
        <v>44.376704617925618</v>
      </c>
    </row>
    <row r="22" spans="1:18" x14ac:dyDescent="0.25">
      <c r="A22" s="3" t="s">
        <v>49</v>
      </c>
      <c r="B22">
        <v>650612.62800000003</v>
      </c>
      <c r="C22">
        <v>3877405.608</v>
      </c>
      <c r="D22">
        <v>18.7</v>
      </c>
      <c r="E22">
        <v>8.41</v>
      </c>
      <c r="F22">
        <v>1377</v>
      </c>
      <c r="G22">
        <v>1765</v>
      </c>
      <c r="H22">
        <v>318.2</v>
      </c>
      <c r="I22">
        <v>161.91999999999999</v>
      </c>
      <c r="J22">
        <v>96.48</v>
      </c>
      <c r="K22">
        <v>618.25</v>
      </c>
      <c r="L22">
        <v>179.32</v>
      </c>
      <c r="M22">
        <v>429</v>
      </c>
      <c r="N22">
        <v>15.53514302</v>
      </c>
      <c r="O22">
        <v>11.76</v>
      </c>
      <c r="P22">
        <f t="shared" si="0"/>
        <v>0.66275097892193613</v>
      </c>
      <c r="Q22">
        <f t="shared" si="1"/>
        <v>0.59035569348293149</v>
      </c>
      <c r="R22">
        <f t="shared" si="2"/>
        <v>39.79686567443008</v>
      </c>
    </row>
    <row r="24" spans="1:18" ht="23.25" x14ac:dyDescent="0.25">
      <c r="A24" s="1" t="s">
        <v>2</v>
      </c>
    </row>
    <row r="26" spans="1:18" x14ac:dyDescent="0.25">
      <c r="A26" s="2" t="s">
        <v>1</v>
      </c>
      <c r="B26" t="s">
        <v>3</v>
      </c>
      <c r="C26" t="s">
        <v>4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</row>
    <row r="27" spans="1:18" x14ac:dyDescent="0.25">
      <c r="A27" s="3" t="s">
        <v>31</v>
      </c>
      <c r="B27">
        <v>649111.63500000001</v>
      </c>
      <c r="C27">
        <v>3870571.8590000002</v>
      </c>
      <c r="D27">
        <v>19.7</v>
      </c>
      <c r="E27">
        <v>7.18</v>
      </c>
      <c r="F27">
        <v>1120.8599999999999</v>
      </c>
      <c r="G27">
        <v>1437</v>
      </c>
      <c r="H27">
        <v>131.41999999999999</v>
      </c>
      <c r="I27">
        <v>146.19999999999999</v>
      </c>
      <c r="J27">
        <v>72.3</v>
      </c>
      <c r="K27">
        <v>219.53</v>
      </c>
      <c r="L27">
        <v>120.79</v>
      </c>
      <c r="M27">
        <v>380</v>
      </c>
      <c r="N27">
        <v>29.303748030000001</v>
      </c>
      <c r="O27">
        <v>1.96</v>
      </c>
      <c r="P27">
        <f t="shared" si="0"/>
        <v>0.47338088034003306</v>
      </c>
      <c r="Q27">
        <f t="shared" si="1"/>
        <v>0.36617016663052726</v>
      </c>
      <c r="R27">
        <f>K27/N27</f>
        <v>7.4915331573030866</v>
      </c>
    </row>
    <row r="28" spans="1:18" x14ac:dyDescent="0.25">
      <c r="A28" s="3" t="s">
        <v>32</v>
      </c>
      <c r="B28">
        <v>648968.93400000001</v>
      </c>
      <c r="C28">
        <v>3870318.17</v>
      </c>
      <c r="D28">
        <v>20.8</v>
      </c>
      <c r="E28">
        <v>7.36</v>
      </c>
      <c r="F28">
        <v>1122.42</v>
      </c>
      <c r="G28">
        <v>1439</v>
      </c>
      <c r="H28">
        <v>120.15</v>
      </c>
      <c r="I28">
        <v>142.12</v>
      </c>
      <c r="J28">
        <v>85</v>
      </c>
      <c r="K28">
        <v>231.84</v>
      </c>
      <c r="L28">
        <v>108.88</v>
      </c>
      <c r="M28">
        <v>415</v>
      </c>
      <c r="N28">
        <v>39.317895040000003</v>
      </c>
      <c r="O28">
        <v>3.84</v>
      </c>
      <c r="P28">
        <f t="shared" si="0"/>
        <v>0.45811568231212113</v>
      </c>
      <c r="Q28">
        <f t="shared" si="1"/>
        <v>0.35841939274009027</v>
      </c>
      <c r="R28">
        <f t="shared" ref="R28:R45" si="3">K28/N28</f>
        <v>5.8965516786729788</v>
      </c>
    </row>
    <row r="29" spans="1:18" x14ac:dyDescent="0.25">
      <c r="A29" s="3" t="s">
        <v>33</v>
      </c>
      <c r="B29">
        <v>649529.16500000004</v>
      </c>
      <c r="C29">
        <v>3871137.3739999998</v>
      </c>
      <c r="D29">
        <v>21.5</v>
      </c>
      <c r="E29">
        <v>7.21</v>
      </c>
      <c r="F29">
        <v>1060.02</v>
      </c>
      <c r="G29">
        <v>1359</v>
      </c>
      <c r="H29">
        <v>129.12</v>
      </c>
      <c r="I29">
        <v>139.56</v>
      </c>
      <c r="J29">
        <v>69.5</v>
      </c>
      <c r="K29">
        <v>286.17</v>
      </c>
      <c r="L29">
        <v>130.01</v>
      </c>
      <c r="M29">
        <v>389.5</v>
      </c>
      <c r="N29">
        <v>30.95733603</v>
      </c>
      <c r="O29">
        <v>2.17</v>
      </c>
      <c r="P29">
        <f t="shared" si="0"/>
        <v>0.48057168378740511</v>
      </c>
      <c r="Q29">
        <f t="shared" si="1"/>
        <v>0.42353515769532463</v>
      </c>
      <c r="R29">
        <f t="shared" si="3"/>
        <v>9.244012460331847</v>
      </c>
    </row>
    <row r="30" spans="1:18" x14ac:dyDescent="0.25">
      <c r="A30" s="3" t="s">
        <v>34</v>
      </c>
      <c r="B30">
        <v>649819.85</v>
      </c>
      <c r="C30">
        <v>3869847.7880000002</v>
      </c>
      <c r="D30">
        <v>18.899999999999999</v>
      </c>
      <c r="E30">
        <v>7.17</v>
      </c>
      <c r="F30">
        <v>1065.48</v>
      </c>
      <c r="G30">
        <v>1366</v>
      </c>
      <c r="H30">
        <v>130</v>
      </c>
      <c r="I30">
        <v>147.63</v>
      </c>
      <c r="J30">
        <v>74.650000000000006</v>
      </c>
      <c r="K30">
        <v>284.49</v>
      </c>
      <c r="L30">
        <v>118.2</v>
      </c>
      <c r="M30">
        <v>490.8</v>
      </c>
      <c r="N30">
        <v>32.563485030000002</v>
      </c>
      <c r="O30">
        <v>5.42</v>
      </c>
      <c r="P30">
        <f t="shared" si="0"/>
        <v>0.4682491085257357</v>
      </c>
      <c r="Q30">
        <f t="shared" si="1"/>
        <v>0.36694656193166431</v>
      </c>
      <c r="R30">
        <f t="shared" si="3"/>
        <v>8.7364727619880309</v>
      </c>
    </row>
    <row r="31" spans="1:18" x14ac:dyDescent="0.25">
      <c r="A31" s="3" t="s">
        <v>35</v>
      </c>
      <c r="B31">
        <v>648799.80799999996</v>
      </c>
      <c r="C31">
        <v>3870450.2990000001</v>
      </c>
      <c r="D31">
        <v>19.3</v>
      </c>
      <c r="E31">
        <v>7.18</v>
      </c>
      <c r="F31">
        <v>1116.96</v>
      </c>
      <c r="G31">
        <v>1432</v>
      </c>
      <c r="H31">
        <v>146.19999999999999</v>
      </c>
      <c r="I31">
        <v>152.30000000000001</v>
      </c>
      <c r="J31">
        <v>59.35</v>
      </c>
      <c r="K31">
        <v>232.48</v>
      </c>
      <c r="L31">
        <v>107.89</v>
      </c>
      <c r="M31">
        <v>460.65</v>
      </c>
      <c r="N31">
        <v>35.994906039999996</v>
      </c>
      <c r="O31">
        <v>0.76</v>
      </c>
      <c r="P31">
        <f t="shared" si="0"/>
        <v>0.48978224455611385</v>
      </c>
      <c r="Q31">
        <f t="shared" si="1"/>
        <v>0.33540605658390199</v>
      </c>
      <c r="R31">
        <f t="shared" si="3"/>
        <v>6.458691675473534</v>
      </c>
    </row>
    <row r="32" spans="1:18" x14ac:dyDescent="0.25">
      <c r="A32" s="3" t="s">
        <v>36</v>
      </c>
      <c r="B32">
        <v>648345.28200000001</v>
      </c>
      <c r="C32">
        <v>3871893.156</v>
      </c>
      <c r="D32">
        <v>20.100000000000001</v>
      </c>
      <c r="E32">
        <v>7.3</v>
      </c>
      <c r="F32">
        <v>1131</v>
      </c>
      <c r="G32">
        <v>1450</v>
      </c>
      <c r="H32">
        <v>135.83000000000001</v>
      </c>
      <c r="I32">
        <v>139.56</v>
      </c>
      <c r="J32">
        <v>76.8</v>
      </c>
      <c r="K32">
        <v>227.42</v>
      </c>
      <c r="L32">
        <v>85.97</v>
      </c>
      <c r="M32">
        <v>512.20000000000005</v>
      </c>
      <c r="N32">
        <v>24.912252030000001</v>
      </c>
      <c r="O32">
        <v>4.03</v>
      </c>
      <c r="P32">
        <f t="shared" si="0"/>
        <v>0.49322778604887618</v>
      </c>
      <c r="Q32">
        <f t="shared" si="1"/>
        <v>0.30748222059976743</v>
      </c>
      <c r="R32">
        <f t="shared" si="3"/>
        <v>9.1288414923763099</v>
      </c>
    </row>
    <row r="33" spans="1:18" x14ac:dyDescent="0.25">
      <c r="A33" s="3" t="s">
        <v>37</v>
      </c>
      <c r="B33">
        <v>648144.44499999995</v>
      </c>
      <c r="C33">
        <v>3871639.4670000002</v>
      </c>
      <c r="D33">
        <v>17.8</v>
      </c>
      <c r="E33">
        <v>7.31</v>
      </c>
      <c r="F33">
        <v>1136.46</v>
      </c>
      <c r="G33">
        <v>1457</v>
      </c>
      <c r="H33">
        <v>139.04</v>
      </c>
      <c r="I33">
        <v>133.35</v>
      </c>
      <c r="J33">
        <v>74</v>
      </c>
      <c r="K33">
        <v>235.19</v>
      </c>
      <c r="L33">
        <v>84.57</v>
      </c>
      <c r="M33">
        <v>440.56</v>
      </c>
      <c r="N33">
        <v>23.970249020000001</v>
      </c>
      <c r="O33">
        <v>2.85</v>
      </c>
      <c r="P33">
        <f t="shared" si="0"/>
        <v>0.51044458313447627</v>
      </c>
      <c r="Q33">
        <f t="shared" si="1"/>
        <v>0.3480429152793193</v>
      </c>
      <c r="R33">
        <f t="shared" si="3"/>
        <v>9.8117462110537552</v>
      </c>
    </row>
    <row r="34" spans="1:18" x14ac:dyDescent="0.25">
      <c r="A34" s="3" t="s">
        <v>38</v>
      </c>
      <c r="B34">
        <v>647732.19999999995</v>
      </c>
      <c r="C34">
        <v>3871850.8739999998</v>
      </c>
      <c r="D34">
        <v>19.5</v>
      </c>
      <c r="E34">
        <v>7.19</v>
      </c>
      <c r="F34">
        <v>1143.48</v>
      </c>
      <c r="G34">
        <v>1466</v>
      </c>
      <c r="H34">
        <v>128.6</v>
      </c>
      <c r="I34">
        <v>146.5</v>
      </c>
      <c r="J34">
        <v>98.45</v>
      </c>
      <c r="K34">
        <v>323.72000000000003</v>
      </c>
      <c r="L34">
        <v>109.84</v>
      </c>
      <c r="M34">
        <v>456</v>
      </c>
      <c r="N34">
        <v>42.902928039999999</v>
      </c>
      <c r="O34">
        <v>6.34</v>
      </c>
      <c r="P34">
        <f t="shared" si="0"/>
        <v>0.46746637586332235</v>
      </c>
      <c r="Q34">
        <f t="shared" si="1"/>
        <v>0.41517467808957065</v>
      </c>
      <c r="R34">
        <f t="shared" si="3"/>
        <v>7.5454057517515771</v>
      </c>
    </row>
    <row r="35" spans="1:18" x14ac:dyDescent="0.25">
      <c r="A35" s="3" t="s">
        <v>39</v>
      </c>
      <c r="B35">
        <v>647774.48199999996</v>
      </c>
      <c r="C35">
        <v>3872744.071</v>
      </c>
      <c r="D35">
        <v>18.399999999999999</v>
      </c>
      <c r="E35">
        <v>7.19</v>
      </c>
      <c r="F35">
        <v>1154.4000000000001</v>
      </c>
      <c r="G35">
        <v>1480</v>
      </c>
      <c r="H35">
        <v>136.38</v>
      </c>
      <c r="I35">
        <v>138.02000000000001</v>
      </c>
      <c r="J35">
        <v>89</v>
      </c>
      <c r="K35">
        <v>266.41000000000003</v>
      </c>
      <c r="L35">
        <v>103.12</v>
      </c>
      <c r="M35">
        <v>360.5</v>
      </c>
      <c r="N35">
        <v>22.135941020000001</v>
      </c>
      <c r="O35">
        <v>3.56</v>
      </c>
      <c r="P35">
        <f t="shared" si="0"/>
        <v>0.49701166180758022</v>
      </c>
      <c r="Q35">
        <f t="shared" si="1"/>
        <v>0.42495733039830275</v>
      </c>
      <c r="R35">
        <f t="shared" si="3"/>
        <v>12.035178434894476</v>
      </c>
    </row>
    <row r="36" spans="1:18" x14ac:dyDescent="0.25">
      <c r="A36" s="3" t="s">
        <v>40</v>
      </c>
      <c r="B36">
        <v>649190.91200000001</v>
      </c>
      <c r="C36">
        <v>3871438.63</v>
      </c>
      <c r="D36">
        <v>19.899999999999999</v>
      </c>
      <c r="E36">
        <v>7.24</v>
      </c>
      <c r="F36">
        <v>1121.6400000000001</v>
      </c>
      <c r="G36">
        <v>1438</v>
      </c>
      <c r="H36">
        <v>146.26</v>
      </c>
      <c r="I36">
        <v>140.96</v>
      </c>
      <c r="J36">
        <v>82.9</v>
      </c>
      <c r="K36">
        <v>217.38</v>
      </c>
      <c r="L36">
        <v>97.63</v>
      </c>
      <c r="M36">
        <v>410.46</v>
      </c>
      <c r="N36">
        <v>24.952914029999999</v>
      </c>
      <c r="O36">
        <v>2.76</v>
      </c>
      <c r="P36">
        <f t="shared" si="0"/>
        <v>0.50922637699324547</v>
      </c>
      <c r="Q36">
        <f t="shared" si="1"/>
        <v>0.34623470948012236</v>
      </c>
      <c r="R36">
        <f t="shared" si="3"/>
        <v>8.7116077801034297</v>
      </c>
    </row>
    <row r="37" spans="1:18" x14ac:dyDescent="0.25">
      <c r="A37" s="3" t="s">
        <v>41</v>
      </c>
      <c r="B37">
        <v>648885.62699999998</v>
      </c>
      <c r="C37">
        <v>3872141.56</v>
      </c>
      <c r="D37">
        <v>22.1</v>
      </c>
      <c r="E37">
        <v>7.26</v>
      </c>
      <c r="F37">
        <v>1151.28</v>
      </c>
      <c r="G37">
        <v>1476</v>
      </c>
      <c r="H37">
        <v>139.66999999999999</v>
      </c>
      <c r="I37">
        <v>139.56</v>
      </c>
      <c r="J37">
        <v>65.55</v>
      </c>
      <c r="K37">
        <v>425.76</v>
      </c>
      <c r="L37">
        <v>178.77</v>
      </c>
      <c r="M37">
        <v>466.6</v>
      </c>
      <c r="N37">
        <v>49.079034049999997</v>
      </c>
      <c r="O37">
        <v>7.59</v>
      </c>
      <c r="P37">
        <f t="shared" si="0"/>
        <v>0.50019697023958731</v>
      </c>
      <c r="Q37">
        <f t="shared" si="1"/>
        <v>0.47711685866690573</v>
      </c>
      <c r="R37">
        <f t="shared" si="3"/>
        <v>8.6749873594955158</v>
      </c>
    </row>
    <row r="38" spans="1:18" x14ac:dyDescent="0.25">
      <c r="A38" s="3" t="s">
        <v>42</v>
      </c>
      <c r="B38">
        <v>649090.49399999995</v>
      </c>
      <c r="C38">
        <v>3873600.2719999999</v>
      </c>
      <c r="D38">
        <v>20.6</v>
      </c>
      <c r="E38">
        <v>7.23</v>
      </c>
      <c r="F38">
        <v>1154.4000000000001</v>
      </c>
      <c r="G38">
        <v>1480</v>
      </c>
      <c r="H38">
        <v>135.78</v>
      </c>
      <c r="I38">
        <v>142.08000000000001</v>
      </c>
      <c r="J38">
        <v>52.6</v>
      </c>
      <c r="K38">
        <v>330.63</v>
      </c>
      <c r="L38">
        <v>121.34</v>
      </c>
      <c r="M38">
        <v>501</v>
      </c>
      <c r="N38">
        <v>30.821796030000002</v>
      </c>
      <c r="O38">
        <v>1.42</v>
      </c>
      <c r="P38">
        <f t="shared" si="0"/>
        <v>0.48866335564672853</v>
      </c>
      <c r="Q38">
        <f t="shared" si="1"/>
        <v>0.39756863028029293</v>
      </c>
      <c r="R38">
        <f t="shared" si="3"/>
        <v>10.727149049918619</v>
      </c>
    </row>
    <row r="39" spans="1:18" x14ac:dyDescent="0.25">
      <c r="A39" s="3" t="s">
        <v>43</v>
      </c>
      <c r="B39">
        <v>649597.87199999997</v>
      </c>
      <c r="C39">
        <v>3873325.4419999998</v>
      </c>
      <c r="D39">
        <v>16.8</v>
      </c>
      <c r="E39">
        <v>7.25</v>
      </c>
      <c r="F39">
        <v>1160.6400000000001</v>
      </c>
      <c r="G39">
        <v>1488</v>
      </c>
      <c r="H39">
        <v>142.80000000000001</v>
      </c>
      <c r="I39">
        <v>145.6</v>
      </c>
      <c r="J39">
        <v>94</v>
      </c>
      <c r="K39">
        <v>185.47</v>
      </c>
      <c r="L39">
        <v>176.65</v>
      </c>
      <c r="M39">
        <v>420.8</v>
      </c>
      <c r="N39">
        <v>41.773428039999999</v>
      </c>
      <c r="O39">
        <v>5.83</v>
      </c>
      <c r="P39">
        <f t="shared" si="0"/>
        <v>0.49514563106796122</v>
      </c>
      <c r="Q39">
        <f t="shared" si="1"/>
        <v>0.3059198047074736</v>
      </c>
      <c r="R39">
        <f t="shared" si="3"/>
        <v>4.4399037546644209</v>
      </c>
    </row>
    <row r="40" spans="1:18" x14ac:dyDescent="0.25">
      <c r="A40" s="3" t="s">
        <v>44</v>
      </c>
      <c r="B40">
        <v>650084.10900000005</v>
      </c>
      <c r="C40">
        <v>3873996.6609999998</v>
      </c>
      <c r="D40">
        <v>17.3</v>
      </c>
      <c r="E40">
        <v>7.17</v>
      </c>
      <c r="F40">
        <v>1161.42</v>
      </c>
      <c r="G40">
        <v>1489</v>
      </c>
      <c r="H40">
        <v>142.13</v>
      </c>
      <c r="I40">
        <v>136.4</v>
      </c>
      <c r="J40">
        <v>62.6</v>
      </c>
      <c r="K40">
        <v>336.41</v>
      </c>
      <c r="L40">
        <v>123.31</v>
      </c>
      <c r="M40">
        <v>374.6</v>
      </c>
      <c r="N40">
        <v>30.270600030000001</v>
      </c>
      <c r="O40">
        <v>2.14</v>
      </c>
      <c r="P40">
        <f t="shared" si="0"/>
        <v>0.51028614511901771</v>
      </c>
      <c r="Q40">
        <f t="shared" si="1"/>
        <v>0.47314383763941442</v>
      </c>
      <c r="R40">
        <f t="shared" si="3"/>
        <v>11.113423574907577</v>
      </c>
    </row>
    <row r="41" spans="1:18" x14ac:dyDescent="0.25">
      <c r="A41" s="3" t="s">
        <v>45</v>
      </c>
      <c r="B41">
        <v>648984.79</v>
      </c>
      <c r="C41">
        <v>3874953.281</v>
      </c>
      <c r="D41">
        <v>16.5</v>
      </c>
      <c r="E41">
        <v>7.22</v>
      </c>
      <c r="F41">
        <v>1163.76</v>
      </c>
      <c r="G41">
        <v>1492</v>
      </c>
      <c r="H41">
        <v>133.25</v>
      </c>
      <c r="I41">
        <v>138.15</v>
      </c>
      <c r="J41">
        <v>75.760000000000005</v>
      </c>
      <c r="K41">
        <v>353.4</v>
      </c>
      <c r="L41">
        <v>122.22</v>
      </c>
      <c r="M41">
        <v>382.6</v>
      </c>
      <c r="N41">
        <v>33.747201029999999</v>
      </c>
      <c r="O41">
        <v>4.67</v>
      </c>
      <c r="P41">
        <f t="shared" si="0"/>
        <v>0.49097273397199709</v>
      </c>
      <c r="Q41">
        <f t="shared" si="1"/>
        <v>0.48016304347826083</v>
      </c>
      <c r="R41">
        <f t="shared" si="3"/>
        <v>10.471979577975684</v>
      </c>
    </row>
    <row r="42" spans="1:18" x14ac:dyDescent="0.25">
      <c r="A42" s="3" t="s">
        <v>46</v>
      </c>
      <c r="B42">
        <v>649994.26100000006</v>
      </c>
      <c r="C42">
        <v>3874467.0430000001</v>
      </c>
      <c r="D42">
        <v>19.2</v>
      </c>
      <c r="E42">
        <v>7.23</v>
      </c>
      <c r="F42">
        <v>1162.2</v>
      </c>
      <c r="G42">
        <v>1490</v>
      </c>
      <c r="H42">
        <v>147.05000000000001</v>
      </c>
      <c r="I42">
        <v>158.44999999999999</v>
      </c>
      <c r="J42">
        <v>57.8</v>
      </c>
      <c r="K42">
        <v>545.6</v>
      </c>
      <c r="L42">
        <v>138.5</v>
      </c>
      <c r="M42">
        <v>401</v>
      </c>
      <c r="N42">
        <v>38.220021039999999</v>
      </c>
      <c r="O42">
        <v>6.92</v>
      </c>
      <c r="P42">
        <f t="shared" si="0"/>
        <v>0.48134206219312609</v>
      </c>
      <c r="Q42">
        <f t="shared" si="1"/>
        <v>0.57637861821255021</v>
      </c>
      <c r="R42">
        <f t="shared" si="3"/>
        <v>14.275240702483925</v>
      </c>
    </row>
    <row r="43" spans="1:18" x14ac:dyDescent="0.25">
      <c r="A43" s="3" t="s">
        <v>47</v>
      </c>
      <c r="B43">
        <v>650136.96100000001</v>
      </c>
      <c r="C43">
        <v>3874884.5729999999</v>
      </c>
      <c r="D43">
        <v>20.7</v>
      </c>
      <c r="E43">
        <v>7.26</v>
      </c>
      <c r="F43">
        <v>1161.42</v>
      </c>
      <c r="G43">
        <v>1489</v>
      </c>
      <c r="H43">
        <v>150.19999999999999</v>
      </c>
      <c r="I43">
        <v>247.25</v>
      </c>
      <c r="J43">
        <v>62.3</v>
      </c>
      <c r="K43">
        <v>411.28</v>
      </c>
      <c r="L43">
        <v>136.02000000000001</v>
      </c>
      <c r="M43">
        <v>405.9</v>
      </c>
      <c r="N43">
        <v>41.323887040000002</v>
      </c>
      <c r="O43">
        <v>3.19</v>
      </c>
      <c r="P43">
        <f t="shared" si="0"/>
        <v>0.37790917096490123</v>
      </c>
      <c r="Q43">
        <f t="shared" si="1"/>
        <v>0.50329180841430288</v>
      </c>
      <c r="R43">
        <f t="shared" si="3"/>
        <v>9.9525971407746816</v>
      </c>
    </row>
    <row r="44" spans="1:18" ht="30" x14ac:dyDescent="0.25">
      <c r="A44" s="3" t="s">
        <v>48</v>
      </c>
      <c r="B44">
        <v>650644.33900000004</v>
      </c>
      <c r="C44">
        <v>3875492.37</v>
      </c>
      <c r="D44">
        <v>22.8</v>
      </c>
      <c r="E44">
        <v>7.5</v>
      </c>
      <c r="F44">
        <v>1216.8</v>
      </c>
      <c r="G44">
        <v>1560</v>
      </c>
      <c r="H44">
        <v>147.5</v>
      </c>
      <c r="I44">
        <v>120.23</v>
      </c>
      <c r="J44">
        <v>79.5</v>
      </c>
      <c r="K44">
        <v>286.77</v>
      </c>
      <c r="L44">
        <v>144.05000000000001</v>
      </c>
      <c r="M44">
        <v>365.6</v>
      </c>
      <c r="N44">
        <v>24.191631019999999</v>
      </c>
      <c r="O44">
        <v>1.95</v>
      </c>
      <c r="P44">
        <f t="shared" si="0"/>
        <v>0.55092817390654758</v>
      </c>
      <c r="Q44">
        <f t="shared" si="1"/>
        <v>0.43958183239572635</v>
      </c>
      <c r="R44">
        <f t="shared" si="3"/>
        <v>11.854099451290324</v>
      </c>
    </row>
    <row r="45" spans="1:18" x14ac:dyDescent="0.25">
      <c r="A45" s="3" t="s">
        <v>49</v>
      </c>
      <c r="B45">
        <v>650612.62800000003</v>
      </c>
      <c r="C45">
        <v>3877405.608</v>
      </c>
      <c r="D45">
        <v>21.6</v>
      </c>
      <c r="E45">
        <v>7.62</v>
      </c>
      <c r="F45">
        <v>1271.4000000000001</v>
      </c>
      <c r="G45">
        <v>1630</v>
      </c>
      <c r="H45">
        <v>147.6</v>
      </c>
      <c r="I45">
        <v>157.52000000000001</v>
      </c>
      <c r="J45">
        <v>92</v>
      </c>
      <c r="K45">
        <v>327.5</v>
      </c>
      <c r="L45">
        <v>175.7</v>
      </c>
      <c r="M45">
        <v>425.5</v>
      </c>
      <c r="N45">
        <v>23.301585020000001</v>
      </c>
      <c r="O45">
        <v>5.26</v>
      </c>
      <c r="P45">
        <f t="shared" si="0"/>
        <v>0.48374410068169899</v>
      </c>
      <c r="Q45">
        <f t="shared" si="1"/>
        <v>0.4349269588313413</v>
      </c>
      <c r="R45">
        <f t="shared" si="3"/>
        <v>14.0548378884485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E45" sqref="D2:E45"/>
    </sheetView>
  </sheetViews>
  <sheetFormatPr baseColWidth="10" defaultRowHeight="15" x14ac:dyDescent="0.25"/>
  <sheetData>
    <row r="1" spans="1:5" x14ac:dyDescent="0.25">
      <c r="A1" t="s">
        <v>54</v>
      </c>
      <c r="B1" t="s">
        <v>55</v>
      </c>
    </row>
    <row r="2" spans="1:5" x14ac:dyDescent="0.25">
      <c r="A2" t="s">
        <v>51</v>
      </c>
      <c r="D2" t="s">
        <v>56</v>
      </c>
      <c r="E2" t="s">
        <v>50</v>
      </c>
    </row>
    <row r="3" spans="1:5" x14ac:dyDescent="0.25">
      <c r="A3">
        <v>27.074115030000002</v>
      </c>
      <c r="B3">
        <v>7.26</v>
      </c>
      <c r="D3" t="s">
        <v>51</v>
      </c>
    </row>
    <row r="4" spans="1:5" x14ac:dyDescent="0.25">
      <c r="A4">
        <v>35.721567039999996</v>
      </c>
      <c r="B4">
        <v>7.42</v>
      </c>
      <c r="D4">
        <v>8.4955685437966455</v>
      </c>
      <c r="E4">
        <v>1324</v>
      </c>
    </row>
    <row r="5" spans="1:5" x14ac:dyDescent="0.25">
      <c r="A5">
        <v>27.478476029999999</v>
      </c>
      <c r="B5">
        <v>7.37</v>
      </c>
      <c r="D5">
        <v>6.4386872989769044</v>
      </c>
      <c r="E5">
        <v>1198</v>
      </c>
    </row>
    <row r="6" spans="1:5" x14ac:dyDescent="0.25">
      <c r="A6">
        <v>28.725444029999998</v>
      </c>
      <c r="B6">
        <v>7.26</v>
      </c>
      <c r="D6">
        <v>10.5719108906492</v>
      </c>
      <c r="E6">
        <v>1443</v>
      </c>
    </row>
    <row r="7" spans="1:5" x14ac:dyDescent="0.25">
      <c r="A7">
        <v>29.283417029999999</v>
      </c>
      <c r="B7">
        <v>7.38</v>
      </c>
      <c r="D7">
        <v>10.617068257726077</v>
      </c>
      <c r="E7">
        <v>1275</v>
      </c>
    </row>
    <row r="8" spans="1:5" x14ac:dyDescent="0.25">
      <c r="A8">
        <v>21.74287502</v>
      </c>
      <c r="B8">
        <v>7.91</v>
      </c>
      <c r="D8">
        <v>8.6096509755576154</v>
      </c>
      <c r="E8">
        <v>1139</v>
      </c>
    </row>
    <row r="9" spans="1:5" x14ac:dyDescent="0.25">
      <c r="A9">
        <v>17.24068802</v>
      </c>
      <c r="B9">
        <v>7.29</v>
      </c>
      <c r="D9">
        <v>10.539544553754235</v>
      </c>
      <c r="E9">
        <v>1112</v>
      </c>
    </row>
    <row r="10" spans="1:5" x14ac:dyDescent="0.25">
      <c r="A10">
        <v>31.971627030000001</v>
      </c>
      <c r="B10">
        <v>7.81</v>
      </c>
      <c r="D10">
        <v>14.283072677513713</v>
      </c>
      <c r="E10">
        <v>1219</v>
      </c>
    </row>
    <row r="11" spans="1:5" x14ac:dyDescent="0.25">
      <c r="A11">
        <v>20.163834019999999</v>
      </c>
      <c r="B11">
        <v>7.42</v>
      </c>
      <c r="D11">
        <v>11.422627933740161</v>
      </c>
      <c r="E11">
        <v>1188</v>
      </c>
    </row>
    <row r="12" spans="1:5" x14ac:dyDescent="0.25">
      <c r="A12">
        <v>24.02672402</v>
      </c>
      <c r="B12">
        <v>7.35</v>
      </c>
      <c r="D12">
        <v>13.656133041309374</v>
      </c>
      <c r="E12">
        <v>1196</v>
      </c>
    </row>
    <row r="13" spans="1:5" x14ac:dyDescent="0.25">
      <c r="A13">
        <v>45.559512050000002</v>
      </c>
      <c r="B13">
        <v>7.96</v>
      </c>
      <c r="D13">
        <v>10.286462681898321</v>
      </c>
      <c r="E13">
        <v>1094</v>
      </c>
    </row>
    <row r="14" spans="1:5" x14ac:dyDescent="0.25">
      <c r="A14">
        <v>25.359534029999999</v>
      </c>
      <c r="B14">
        <v>7.15</v>
      </c>
      <c r="D14">
        <v>18.001729234938107</v>
      </c>
      <c r="E14">
        <v>1273</v>
      </c>
    </row>
    <row r="15" spans="1:5" x14ac:dyDescent="0.25">
      <c r="A15">
        <v>29.254050029999998</v>
      </c>
      <c r="B15">
        <v>7.67</v>
      </c>
      <c r="D15">
        <v>17.309466312776724</v>
      </c>
      <c r="E15">
        <v>1186</v>
      </c>
    </row>
    <row r="16" spans="1:5" x14ac:dyDescent="0.25">
      <c r="A16">
        <v>31.47464703</v>
      </c>
      <c r="B16">
        <v>8.02</v>
      </c>
      <c r="D16">
        <v>7.469734952114595</v>
      </c>
      <c r="E16">
        <v>1182</v>
      </c>
    </row>
    <row r="17" spans="1:5" x14ac:dyDescent="0.25">
      <c r="A17">
        <v>29.267604030000001</v>
      </c>
      <c r="B17">
        <v>7.95</v>
      </c>
      <c r="D17">
        <v>17.323466708945013</v>
      </c>
      <c r="E17">
        <v>1324</v>
      </c>
    </row>
    <row r="18" spans="1:5" x14ac:dyDescent="0.25">
      <c r="A18">
        <v>27.07637403</v>
      </c>
      <c r="B18">
        <v>7.39</v>
      </c>
      <c r="D18">
        <v>18.932878804565405</v>
      </c>
      <c r="E18">
        <v>1223</v>
      </c>
    </row>
    <row r="19" spans="1:5" x14ac:dyDescent="0.25">
      <c r="A19">
        <v>39.374370040000002</v>
      </c>
      <c r="B19">
        <v>7.58</v>
      </c>
      <c r="D19">
        <v>33.8006853866762</v>
      </c>
      <c r="E19">
        <v>1188</v>
      </c>
    </row>
    <row r="20" spans="1:5" x14ac:dyDescent="0.25">
      <c r="A20">
        <v>13.445568010000001</v>
      </c>
      <c r="B20">
        <v>8.1199999999999992</v>
      </c>
      <c r="D20">
        <v>15.666536362952309</v>
      </c>
      <c r="E20">
        <v>1257</v>
      </c>
    </row>
    <row r="21" spans="1:5" x14ac:dyDescent="0.25">
      <c r="A21">
        <v>15.53514302</v>
      </c>
      <c r="B21">
        <v>8.41</v>
      </c>
      <c r="D21">
        <v>44.376704617925618</v>
      </c>
      <c r="E21">
        <v>1278</v>
      </c>
    </row>
    <row r="22" spans="1:5" x14ac:dyDescent="0.25">
      <c r="A22" t="s">
        <v>53</v>
      </c>
      <c r="D22">
        <v>39.79686567443008</v>
      </c>
      <c r="E22">
        <v>1377</v>
      </c>
    </row>
    <row r="23" spans="1:5" x14ac:dyDescent="0.25">
      <c r="A23">
        <v>29.303748030000001</v>
      </c>
      <c r="B23">
        <v>7.18</v>
      </c>
      <c r="D23" t="s">
        <v>53</v>
      </c>
    </row>
    <row r="24" spans="1:5" x14ac:dyDescent="0.25">
      <c r="A24">
        <v>39.317895040000003</v>
      </c>
      <c r="B24">
        <v>7.36</v>
      </c>
    </row>
    <row r="25" spans="1:5" x14ac:dyDescent="0.25">
      <c r="A25">
        <v>30.95733603</v>
      </c>
      <c r="B25">
        <v>7.21</v>
      </c>
    </row>
    <row r="26" spans="1:5" x14ac:dyDescent="0.25">
      <c r="A26">
        <v>32.563485030000002</v>
      </c>
      <c r="B26">
        <v>7.17</v>
      </c>
    </row>
    <row r="27" spans="1:5" x14ac:dyDescent="0.25">
      <c r="A27">
        <v>35.994906039999996</v>
      </c>
      <c r="B27">
        <v>7.18</v>
      </c>
      <c r="D27">
        <v>7.4915331573030866</v>
      </c>
      <c r="E27">
        <v>1120.8599999999999</v>
      </c>
    </row>
    <row r="28" spans="1:5" x14ac:dyDescent="0.25">
      <c r="A28">
        <v>24.912252030000001</v>
      </c>
      <c r="B28">
        <v>7.3</v>
      </c>
      <c r="D28">
        <v>5.8965516786729788</v>
      </c>
      <c r="E28">
        <v>1122.42</v>
      </c>
    </row>
    <row r="29" spans="1:5" x14ac:dyDescent="0.25">
      <c r="A29">
        <v>23.970249020000001</v>
      </c>
      <c r="B29">
        <v>7.31</v>
      </c>
      <c r="D29">
        <v>9.244012460331847</v>
      </c>
      <c r="E29">
        <v>1060.02</v>
      </c>
    </row>
    <row r="30" spans="1:5" x14ac:dyDescent="0.25">
      <c r="A30">
        <v>42.902928039999999</v>
      </c>
      <c r="B30">
        <v>7.19</v>
      </c>
      <c r="D30">
        <v>8.7364727619880309</v>
      </c>
      <c r="E30">
        <v>1065.48</v>
      </c>
    </row>
    <row r="31" spans="1:5" x14ac:dyDescent="0.25">
      <c r="A31">
        <v>22.135941020000001</v>
      </c>
      <c r="B31">
        <v>7.19</v>
      </c>
      <c r="D31">
        <v>6.458691675473534</v>
      </c>
      <c r="E31">
        <v>1116.96</v>
      </c>
    </row>
    <row r="32" spans="1:5" x14ac:dyDescent="0.25">
      <c r="A32">
        <v>24.952914029999999</v>
      </c>
      <c r="B32">
        <v>7.24</v>
      </c>
      <c r="D32">
        <v>9.1288414923763099</v>
      </c>
      <c r="E32">
        <v>1131</v>
      </c>
    </row>
    <row r="33" spans="1:5" x14ac:dyDescent="0.25">
      <c r="A33">
        <v>49.079034049999997</v>
      </c>
      <c r="B33">
        <v>7.26</v>
      </c>
      <c r="D33">
        <v>9.8117462110537552</v>
      </c>
      <c r="E33">
        <v>1136.46</v>
      </c>
    </row>
    <row r="34" spans="1:5" x14ac:dyDescent="0.25">
      <c r="A34">
        <v>30.821796030000002</v>
      </c>
      <c r="B34">
        <v>7.23</v>
      </c>
      <c r="D34">
        <v>7.5454057517515771</v>
      </c>
      <c r="E34">
        <v>1143.48</v>
      </c>
    </row>
    <row r="35" spans="1:5" x14ac:dyDescent="0.25">
      <c r="A35">
        <v>41.773428039999999</v>
      </c>
      <c r="B35">
        <v>7.25</v>
      </c>
      <c r="D35">
        <v>12.035178434894476</v>
      </c>
      <c r="E35">
        <v>1154.4000000000001</v>
      </c>
    </row>
    <row r="36" spans="1:5" x14ac:dyDescent="0.25">
      <c r="A36">
        <v>30.270600030000001</v>
      </c>
      <c r="B36">
        <v>7.17</v>
      </c>
      <c r="D36">
        <v>8.7116077801034297</v>
      </c>
      <c r="E36">
        <v>1121.6400000000001</v>
      </c>
    </row>
    <row r="37" spans="1:5" x14ac:dyDescent="0.25">
      <c r="A37">
        <v>33.747201029999999</v>
      </c>
      <c r="B37">
        <v>7.22</v>
      </c>
      <c r="D37">
        <v>8.6749873594955158</v>
      </c>
      <c r="E37">
        <v>1151.28</v>
      </c>
    </row>
    <row r="38" spans="1:5" x14ac:dyDescent="0.25">
      <c r="A38">
        <v>38.220021039999999</v>
      </c>
      <c r="B38">
        <v>7.23</v>
      </c>
      <c r="D38">
        <v>10.727149049918619</v>
      </c>
      <c r="E38">
        <v>1154.4000000000001</v>
      </c>
    </row>
    <row r="39" spans="1:5" x14ac:dyDescent="0.25">
      <c r="A39">
        <v>41.323887040000002</v>
      </c>
      <c r="B39">
        <v>7.26</v>
      </c>
      <c r="D39">
        <v>4.4399037546644209</v>
      </c>
      <c r="E39">
        <v>1160.6400000000001</v>
      </c>
    </row>
    <row r="40" spans="1:5" x14ac:dyDescent="0.25">
      <c r="A40">
        <v>24.191631019999999</v>
      </c>
      <c r="B40">
        <v>7.5</v>
      </c>
      <c r="D40">
        <v>11.113423574907577</v>
      </c>
      <c r="E40">
        <v>1161.42</v>
      </c>
    </row>
    <row r="41" spans="1:5" x14ac:dyDescent="0.25">
      <c r="A41">
        <v>23.301585020000001</v>
      </c>
      <c r="B41">
        <v>7.62</v>
      </c>
      <c r="D41">
        <v>10.471979577975684</v>
      </c>
      <c r="E41">
        <v>1163.76</v>
      </c>
    </row>
    <row r="42" spans="1:5" x14ac:dyDescent="0.25">
      <c r="D42">
        <v>14.275240702483925</v>
      </c>
      <c r="E42">
        <v>1162.2</v>
      </c>
    </row>
    <row r="43" spans="1:5" x14ac:dyDescent="0.25">
      <c r="D43">
        <v>9.9525971407746816</v>
      </c>
      <c r="E43">
        <v>1161.42</v>
      </c>
    </row>
    <row r="44" spans="1:5" x14ac:dyDescent="0.25">
      <c r="D44">
        <v>11.854099451290324</v>
      </c>
      <c r="E44">
        <v>1216.8</v>
      </c>
    </row>
    <row r="45" spans="1:5" x14ac:dyDescent="0.25">
      <c r="D45">
        <v>14.0548378884485</v>
      </c>
      <c r="E45">
        <v>1271.4000000000001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E2" zoomScale="90" zoomScaleNormal="90" workbookViewId="0">
      <selection activeCell="Q11" sqref="Q11"/>
    </sheetView>
  </sheetViews>
  <sheetFormatPr baseColWidth="10" defaultRowHeight="15" x14ac:dyDescent="0.25"/>
  <sheetData>
    <row r="1" spans="1:3" x14ac:dyDescent="0.25">
      <c r="A1" t="s">
        <v>50</v>
      </c>
      <c r="B1" t="s">
        <v>29</v>
      </c>
      <c r="C1" t="s">
        <v>30</v>
      </c>
    </row>
    <row r="2" spans="1:3" x14ac:dyDescent="0.25">
      <c r="A2" t="s">
        <v>51</v>
      </c>
    </row>
    <row r="3" spans="1:3" x14ac:dyDescent="0.25">
      <c r="A3">
        <v>1324</v>
      </c>
      <c r="B3">
        <v>0.6429737536104484</v>
      </c>
      <c r="C3">
        <v>0.36948804035276539</v>
      </c>
    </row>
    <row r="4" spans="1:3" x14ac:dyDescent="0.25">
      <c r="A4">
        <v>1198</v>
      </c>
      <c r="B4">
        <v>0.71571714858288005</v>
      </c>
      <c r="C4">
        <v>0.35881435257410299</v>
      </c>
    </row>
    <row r="5" spans="1:3" x14ac:dyDescent="0.25">
      <c r="A5">
        <v>1443</v>
      </c>
      <c r="B5">
        <v>0.59523469824511344</v>
      </c>
      <c r="C5">
        <v>0.42316096139839765</v>
      </c>
    </row>
    <row r="6" spans="1:3" x14ac:dyDescent="0.25">
      <c r="A6">
        <v>1275</v>
      </c>
      <c r="B6">
        <v>0.57788066742377919</v>
      </c>
      <c r="C6">
        <v>0.38266477622052975</v>
      </c>
    </row>
    <row r="7" spans="1:3" x14ac:dyDescent="0.25">
      <c r="A7">
        <v>1139</v>
      </c>
      <c r="B7">
        <v>0.57539985845718322</v>
      </c>
      <c r="C7">
        <v>0.34251711770459736</v>
      </c>
    </row>
    <row r="8" spans="1:3" x14ac:dyDescent="0.25">
      <c r="A8">
        <v>1112</v>
      </c>
      <c r="B8">
        <v>0.57267538429015796</v>
      </c>
      <c r="C8">
        <v>0.3037806882655496</v>
      </c>
    </row>
    <row r="9" spans="1:3" x14ac:dyDescent="0.25">
      <c r="A9">
        <v>1219</v>
      </c>
      <c r="B9">
        <v>0.60649155607319094</v>
      </c>
      <c r="C9">
        <v>0.3441889719756796</v>
      </c>
    </row>
    <row r="10" spans="1:3" x14ac:dyDescent="0.25">
      <c r="A10">
        <v>1188</v>
      </c>
      <c r="B10">
        <v>0.56733010579164422</v>
      </c>
      <c r="C10">
        <v>0.44277400581959264</v>
      </c>
    </row>
    <row r="11" spans="1:3" x14ac:dyDescent="0.25">
      <c r="A11">
        <v>1196</v>
      </c>
      <c r="B11">
        <v>0.59364118092354279</v>
      </c>
      <c r="C11">
        <v>0.43000812043225689</v>
      </c>
    </row>
    <row r="12" spans="1:3" x14ac:dyDescent="0.25">
      <c r="A12">
        <v>1094</v>
      </c>
      <c r="B12">
        <v>0.56422633413783863</v>
      </c>
      <c r="C12">
        <v>0.37547665709554412</v>
      </c>
    </row>
    <row r="13" spans="1:3" x14ac:dyDescent="0.25">
      <c r="A13">
        <v>1273</v>
      </c>
      <c r="B13">
        <v>0.61370096645821492</v>
      </c>
      <c r="C13">
        <v>0.63668827388114735</v>
      </c>
    </row>
    <row r="14" spans="1:3" x14ac:dyDescent="0.25">
      <c r="A14">
        <v>1186</v>
      </c>
      <c r="B14">
        <v>0.59839357429718865</v>
      </c>
      <c r="C14">
        <v>0.46438017053509084</v>
      </c>
    </row>
    <row r="15" spans="1:3" x14ac:dyDescent="0.25">
      <c r="A15">
        <v>1182</v>
      </c>
      <c r="B15">
        <v>0.52681208053691275</v>
      </c>
      <c r="C15">
        <v>0.34303475558067253</v>
      </c>
    </row>
    <row r="16" spans="1:3" x14ac:dyDescent="0.25">
      <c r="A16">
        <v>1324</v>
      </c>
      <c r="B16">
        <v>0.50382699111849227</v>
      </c>
      <c r="C16">
        <v>0.58993778739518532</v>
      </c>
    </row>
    <row r="17" spans="1:3" x14ac:dyDescent="0.25">
      <c r="A17">
        <v>1223</v>
      </c>
      <c r="B17">
        <v>0.60812068236289296</v>
      </c>
      <c r="C17">
        <v>0.5932000171284203</v>
      </c>
    </row>
    <row r="18" spans="1:3" x14ac:dyDescent="0.25">
      <c r="A18">
        <v>1188</v>
      </c>
      <c r="B18">
        <v>0.56990243478764369</v>
      </c>
      <c r="C18">
        <v>0.6966582933698714</v>
      </c>
    </row>
    <row r="19" spans="1:3" x14ac:dyDescent="0.25">
      <c r="A19">
        <v>1257</v>
      </c>
      <c r="B19">
        <v>0.66399457723026145</v>
      </c>
      <c r="C19">
        <v>0.59965587300352874</v>
      </c>
    </row>
    <row r="20" spans="1:3" x14ac:dyDescent="0.25">
      <c r="A20">
        <v>1278</v>
      </c>
      <c r="B20">
        <v>0.72587972398890066</v>
      </c>
      <c r="C20">
        <v>0.61344149034606132</v>
      </c>
    </row>
    <row r="21" spans="1:3" x14ac:dyDescent="0.25">
      <c r="A21">
        <v>1377</v>
      </c>
      <c r="B21">
        <v>0.66275097892193613</v>
      </c>
      <c r="C21">
        <v>0.59035569348293149</v>
      </c>
    </row>
    <row r="22" spans="1:3" x14ac:dyDescent="0.25">
      <c r="A22" t="s">
        <v>52</v>
      </c>
    </row>
    <row r="23" spans="1:3" x14ac:dyDescent="0.25">
      <c r="A23">
        <v>1120.8599999999999</v>
      </c>
      <c r="B23">
        <v>0.47338088034003306</v>
      </c>
      <c r="C23">
        <v>0.36617016663052726</v>
      </c>
    </row>
    <row r="24" spans="1:3" x14ac:dyDescent="0.25">
      <c r="A24">
        <v>1122.42</v>
      </c>
      <c r="B24">
        <v>0.45811568231212113</v>
      </c>
      <c r="C24">
        <v>0.35841939274009027</v>
      </c>
    </row>
    <row r="25" spans="1:3" x14ac:dyDescent="0.25">
      <c r="A25">
        <v>1060.02</v>
      </c>
      <c r="B25">
        <v>0.48057168378740511</v>
      </c>
      <c r="C25">
        <v>0.42353515769532463</v>
      </c>
    </row>
    <row r="26" spans="1:3" x14ac:dyDescent="0.25">
      <c r="A26">
        <v>1065.48</v>
      </c>
      <c r="B26">
        <v>0.4682491085257357</v>
      </c>
      <c r="C26">
        <v>0.36694656193166431</v>
      </c>
    </row>
    <row r="27" spans="1:3" x14ac:dyDescent="0.25">
      <c r="A27">
        <v>1116.96</v>
      </c>
      <c r="B27">
        <v>0.48978224455611385</v>
      </c>
      <c r="C27">
        <v>0.33540605658390199</v>
      </c>
    </row>
    <row r="28" spans="1:3" x14ac:dyDescent="0.25">
      <c r="A28">
        <v>1131</v>
      </c>
      <c r="B28">
        <v>0.49322778604887618</v>
      </c>
      <c r="C28">
        <v>0.30748222059976743</v>
      </c>
    </row>
    <row r="29" spans="1:3" x14ac:dyDescent="0.25">
      <c r="A29">
        <v>1136.46</v>
      </c>
      <c r="B29">
        <v>0.51044458313447627</v>
      </c>
      <c r="C29">
        <v>0.3480429152793193</v>
      </c>
    </row>
    <row r="30" spans="1:3" x14ac:dyDescent="0.25">
      <c r="A30">
        <v>1143.48</v>
      </c>
      <c r="B30">
        <v>0.46746637586332235</v>
      </c>
      <c r="C30">
        <v>0.41517467808957065</v>
      </c>
    </row>
    <row r="31" spans="1:3" x14ac:dyDescent="0.25">
      <c r="A31">
        <v>1154.4000000000001</v>
      </c>
      <c r="B31">
        <v>0.49701166180758022</v>
      </c>
      <c r="C31">
        <v>0.42495733039830275</v>
      </c>
    </row>
    <row r="32" spans="1:3" x14ac:dyDescent="0.25">
      <c r="A32">
        <v>1121.6400000000001</v>
      </c>
      <c r="B32">
        <v>0.50922637699324547</v>
      </c>
      <c r="C32">
        <v>0.34623470948012236</v>
      </c>
    </row>
    <row r="33" spans="1:3" x14ac:dyDescent="0.25">
      <c r="A33">
        <v>1151.28</v>
      </c>
      <c r="B33">
        <v>0.50019697023958731</v>
      </c>
      <c r="C33">
        <v>0.47711685866690573</v>
      </c>
    </row>
    <row r="34" spans="1:3" x14ac:dyDescent="0.25">
      <c r="A34">
        <v>1154.4000000000001</v>
      </c>
      <c r="B34">
        <v>0.48866335564672853</v>
      </c>
      <c r="C34">
        <v>0.39756863028029293</v>
      </c>
    </row>
    <row r="35" spans="1:3" x14ac:dyDescent="0.25">
      <c r="A35">
        <v>1160.6400000000001</v>
      </c>
      <c r="B35">
        <v>0.49514563106796122</v>
      </c>
      <c r="C35">
        <v>0.3059198047074736</v>
      </c>
    </row>
    <row r="36" spans="1:3" x14ac:dyDescent="0.25">
      <c r="A36">
        <v>1161.42</v>
      </c>
      <c r="B36">
        <v>0.51028614511901771</v>
      </c>
      <c r="C36">
        <v>0.47314383763941442</v>
      </c>
    </row>
    <row r="37" spans="1:3" x14ac:dyDescent="0.25">
      <c r="A37">
        <v>1163.76</v>
      </c>
      <c r="B37">
        <v>0.49097273397199709</v>
      </c>
      <c r="C37">
        <v>0.48016304347826083</v>
      </c>
    </row>
    <row r="38" spans="1:3" x14ac:dyDescent="0.25">
      <c r="A38">
        <v>1162.2</v>
      </c>
      <c r="B38">
        <v>0.48134206219312609</v>
      </c>
      <c r="C38">
        <v>0.57637861821255021</v>
      </c>
    </row>
    <row r="39" spans="1:3" x14ac:dyDescent="0.25">
      <c r="A39">
        <v>1161.42</v>
      </c>
      <c r="B39">
        <v>0.37790917096490123</v>
      </c>
      <c r="C39">
        <v>0.50329180841430288</v>
      </c>
    </row>
    <row r="40" spans="1:3" x14ac:dyDescent="0.25">
      <c r="A40">
        <v>1216.8</v>
      </c>
      <c r="B40">
        <v>0.55092817390654758</v>
      </c>
      <c r="C40">
        <v>0.43958183239572635</v>
      </c>
    </row>
    <row r="41" spans="1:3" x14ac:dyDescent="0.25">
      <c r="A41">
        <v>1271.4000000000001</v>
      </c>
      <c r="B41">
        <v>0.48374410068169899</v>
      </c>
      <c r="C41">
        <v>0.4349269588313413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2025-03-05T21:26:17Z</dcterms:created>
  <dcterms:modified xsi:type="dcterms:W3CDTF">2025-03-26T12:33:55Z</dcterms:modified>
</cp:coreProperties>
</file>